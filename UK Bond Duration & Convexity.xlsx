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a15631743cb68c1/Desktop/Dissertation/"/>
    </mc:Choice>
  </mc:AlternateContent>
  <xr:revisionPtr revIDLastSave="437" documentId="8_{5ADCE12B-8CA3-4A70-94A7-2256C5D4CDC9}" xr6:coauthVersionLast="47" xr6:coauthVersionMax="47" xr10:uidLastSave="{DFA9A4AC-32B4-4E8E-9586-53C5DF2FC595}"/>
  <bookViews>
    <workbookView xWindow="-108" yWindow="-108" windowWidth="23256" windowHeight="13896" activeTab="5" xr2:uid="{99C8297C-9CDA-4EB1-A9C7-F67357AA1D83}"/>
  </bookViews>
  <sheets>
    <sheet name="GBP01 &amp; Convexity" sheetId="1" r:id="rId1"/>
    <sheet name="10 year Gilt" sheetId="3" r:id="rId2"/>
    <sheet name="10 Year Scenario" sheetId="5" r:id="rId3"/>
    <sheet name="30 year Gilt" sheetId="4" r:id="rId4"/>
    <sheet name="30 Year Scenario" sheetId="6" r:id="rId5"/>
    <sheet name="Dashboard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1" l="1"/>
  <c r="R19" i="1"/>
  <c r="R20" i="1"/>
  <c r="R21" i="1"/>
  <c r="R22" i="1"/>
  <c r="R23" i="1"/>
  <c r="R24" i="1"/>
  <c r="R25" i="1"/>
  <c r="R17" i="1"/>
  <c r="R5" i="1"/>
  <c r="R6" i="1"/>
  <c r="R7" i="1"/>
  <c r="R8" i="1"/>
  <c r="R9" i="1"/>
  <c r="R10" i="1"/>
  <c r="R11" i="1"/>
  <c r="R12" i="1"/>
  <c r="R4" i="1"/>
  <c r="C3" i="4"/>
  <c r="C3" i="1"/>
  <c r="C3" i="3"/>
  <c r="Q18" i="1"/>
  <c r="Q19" i="1"/>
  <c r="Q20" i="1"/>
  <c r="Q21" i="1"/>
  <c r="Q22" i="1"/>
  <c r="Q23" i="1"/>
  <c r="Q24" i="1"/>
  <c r="Q25" i="1"/>
  <c r="Q17" i="1"/>
  <c r="P18" i="1"/>
  <c r="P19" i="1"/>
  <c r="P20" i="1"/>
  <c r="P21" i="1"/>
  <c r="P22" i="1"/>
  <c r="P23" i="1"/>
  <c r="P24" i="1"/>
  <c r="P25" i="1"/>
  <c r="P17" i="1"/>
  <c r="O18" i="1"/>
  <c r="O19" i="1"/>
  <c r="O20" i="1"/>
  <c r="O21" i="1"/>
  <c r="O22" i="1"/>
  <c r="O23" i="1"/>
  <c r="O24" i="1"/>
  <c r="O25" i="1"/>
  <c r="O17" i="1"/>
  <c r="N18" i="1"/>
  <c r="N19" i="1"/>
  <c r="N20" i="1"/>
  <c r="N21" i="1"/>
  <c r="N22" i="1"/>
  <c r="N23" i="1"/>
  <c r="N24" i="1"/>
  <c r="N25" i="1"/>
  <c r="N17" i="1"/>
  <c r="N4" i="1"/>
  <c r="L18" i="1"/>
  <c r="L19" i="1"/>
  <c r="L20" i="1"/>
  <c r="L21" i="1"/>
  <c r="L22" i="1"/>
  <c r="L23" i="1"/>
  <c r="L24" i="1"/>
  <c r="L25" i="1"/>
  <c r="L17" i="1"/>
  <c r="K25" i="1"/>
  <c r="K24" i="1"/>
  <c r="K23" i="1"/>
  <c r="K22" i="1"/>
  <c r="K21" i="1"/>
  <c r="K20" i="1"/>
  <c r="K19" i="1"/>
  <c r="K18" i="1"/>
  <c r="K17" i="1"/>
  <c r="Q5" i="1"/>
  <c r="Q6" i="1"/>
  <c r="Q7" i="1"/>
  <c r="Q8" i="1"/>
  <c r="Q9" i="1"/>
  <c r="Q10" i="1"/>
  <c r="Q11" i="1"/>
  <c r="Q12" i="1"/>
  <c r="Q4" i="1"/>
  <c r="P5" i="1"/>
  <c r="P6" i="1"/>
  <c r="P7" i="1"/>
  <c r="P8" i="1"/>
  <c r="P9" i="1"/>
  <c r="P10" i="1"/>
  <c r="P11" i="1"/>
  <c r="P12" i="1"/>
  <c r="P4" i="1"/>
  <c r="O5" i="1"/>
  <c r="O6" i="1"/>
  <c r="O7" i="1"/>
  <c r="O8" i="1"/>
  <c r="O9" i="1"/>
  <c r="O10" i="1"/>
  <c r="O11" i="1"/>
  <c r="O12" i="1"/>
  <c r="O4" i="1"/>
  <c r="N5" i="1"/>
  <c r="N6" i="1"/>
  <c r="N7" i="1"/>
  <c r="N8" i="1"/>
  <c r="N9" i="1"/>
  <c r="N10" i="1"/>
  <c r="N11" i="1"/>
  <c r="N12" i="1"/>
  <c r="L5" i="1"/>
  <c r="L6" i="1"/>
  <c r="L7" i="1"/>
  <c r="L8" i="1"/>
  <c r="L9" i="1"/>
  <c r="L10" i="1"/>
  <c r="L11" i="1"/>
  <c r="L12" i="1"/>
  <c r="L4" i="1"/>
  <c r="K5" i="1"/>
  <c r="K6" i="1"/>
  <c r="K7" i="1"/>
  <c r="K8" i="1"/>
  <c r="K9" i="1"/>
  <c r="K10" i="1"/>
  <c r="K11" i="1"/>
  <c r="K12" i="1"/>
  <c r="K4" i="1"/>
  <c r="C35" i="1"/>
  <c r="D35" i="1"/>
  <c r="E35" i="1"/>
  <c r="AB69" i="6"/>
  <c r="Q69" i="6"/>
  <c r="F69" i="6"/>
  <c r="E30" i="1"/>
  <c r="D30" i="1"/>
  <c r="C30" i="1"/>
  <c r="E25" i="1"/>
  <c r="D25" i="1"/>
  <c r="C25" i="1"/>
  <c r="E20" i="1"/>
  <c r="D20" i="1"/>
  <c r="G11" i="1"/>
  <c r="G12" i="1" s="1"/>
  <c r="G8" i="1"/>
  <c r="G9" i="1" s="1"/>
  <c r="G6" i="1"/>
  <c r="C11" i="1"/>
  <c r="C12" i="1" s="1"/>
  <c r="C8" i="1"/>
  <c r="C9" i="1" s="1"/>
  <c r="C6" i="1"/>
  <c r="AB5" i="6"/>
  <c r="AB20" i="6"/>
  <c r="AB21" i="6"/>
  <c r="AB22" i="6"/>
  <c r="AB23" i="6"/>
  <c r="AB24" i="6"/>
  <c r="AB35" i="6"/>
  <c r="AB36" i="6"/>
  <c r="AB37" i="6"/>
  <c r="AB38" i="6"/>
  <c r="AB39" i="6"/>
  <c r="AB40" i="6"/>
  <c r="AB50" i="6"/>
  <c r="AB55" i="6"/>
  <c r="AB56" i="6"/>
  <c r="Q5" i="6"/>
  <c r="Q6" i="6"/>
  <c r="Q7" i="6"/>
  <c r="Q8" i="6"/>
  <c r="Q9" i="6"/>
  <c r="Q10" i="6"/>
  <c r="Q11" i="6"/>
  <c r="Q21" i="6"/>
  <c r="Q22" i="6"/>
  <c r="Q23" i="6"/>
  <c r="Q37" i="6"/>
  <c r="Q38" i="6"/>
  <c r="Q39" i="6"/>
  <c r="Q40" i="6"/>
  <c r="Q41" i="6"/>
  <c r="Q42" i="6"/>
  <c r="Q43" i="6"/>
  <c r="Q53" i="6"/>
  <c r="Q54" i="6"/>
  <c r="Q55" i="6"/>
  <c r="Q56" i="6"/>
  <c r="Q57" i="6"/>
  <c r="F5" i="6"/>
  <c r="F16" i="6"/>
  <c r="F19" i="6"/>
  <c r="F20" i="6"/>
  <c r="F21" i="6"/>
  <c r="F22" i="6"/>
  <c r="F23" i="6"/>
  <c r="F24" i="6"/>
  <c r="F25" i="6"/>
  <c r="F35" i="6"/>
  <c r="F36" i="6"/>
  <c r="F37" i="6"/>
  <c r="F38" i="6"/>
  <c r="F51" i="6"/>
  <c r="F52" i="6"/>
  <c r="F53" i="6"/>
  <c r="F54" i="6"/>
  <c r="F55" i="6"/>
  <c r="F56" i="6"/>
  <c r="F57" i="6"/>
  <c r="F4" i="6"/>
  <c r="C14" i="6"/>
  <c r="C12" i="6"/>
  <c r="C13" i="6" s="1"/>
  <c r="C9" i="6"/>
  <c r="C10" i="6" s="1"/>
  <c r="C7" i="6"/>
  <c r="AB7" i="6" s="1"/>
  <c r="AB4" i="5"/>
  <c r="AB5" i="5" s="1"/>
  <c r="AB6" i="5" s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Q4" i="5"/>
  <c r="AC20" i="5"/>
  <c r="AC15" i="5"/>
  <c r="AC14" i="5"/>
  <c r="AC13" i="5"/>
  <c r="AC12" i="5"/>
  <c r="AC11" i="5"/>
  <c r="AC10" i="5"/>
  <c r="C12" i="5"/>
  <c r="C13" i="5" s="1"/>
  <c r="C9" i="5"/>
  <c r="C10" i="5" s="1"/>
  <c r="R23" i="5" s="1"/>
  <c r="C7" i="5"/>
  <c r="F10" i="5" s="1"/>
  <c r="L21" i="4"/>
  <c r="L22" i="4"/>
  <c r="L23" i="4"/>
  <c r="I5" i="4"/>
  <c r="L5" i="4" s="1"/>
  <c r="I6" i="4"/>
  <c r="L6" i="4" s="1"/>
  <c r="I7" i="4"/>
  <c r="L7" i="4" s="1"/>
  <c r="I8" i="4"/>
  <c r="L8" i="4" s="1"/>
  <c r="I20" i="4"/>
  <c r="L20" i="4" s="1"/>
  <c r="I21" i="4"/>
  <c r="I22" i="4"/>
  <c r="I23" i="4"/>
  <c r="I24" i="4"/>
  <c r="L24" i="4" s="1"/>
  <c r="I36" i="4"/>
  <c r="L36" i="4" s="1"/>
  <c r="I37" i="4"/>
  <c r="L37" i="4" s="1"/>
  <c r="I38" i="4"/>
  <c r="L38" i="4" s="1"/>
  <c r="I39" i="4"/>
  <c r="L39" i="4" s="1"/>
  <c r="I40" i="4"/>
  <c r="L40" i="4" s="1"/>
  <c r="I52" i="4"/>
  <c r="L52" i="4" s="1"/>
  <c r="I53" i="4"/>
  <c r="L53" i="4" s="1"/>
  <c r="I54" i="4"/>
  <c r="L54" i="4" s="1"/>
  <c r="I55" i="4"/>
  <c r="L55" i="4" s="1"/>
  <c r="I56" i="4"/>
  <c r="L56" i="4" s="1"/>
  <c r="H61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4" i="4"/>
  <c r="F54" i="4"/>
  <c r="F55" i="4"/>
  <c r="F56" i="4" s="1"/>
  <c r="F57" i="4" s="1"/>
  <c r="F58" i="4" s="1"/>
  <c r="F59" i="4" s="1"/>
  <c r="F60" i="4" s="1"/>
  <c r="F61" i="4" s="1"/>
  <c r="F47" i="4"/>
  <c r="F48" i="4" s="1"/>
  <c r="F49" i="4" s="1"/>
  <c r="F50" i="4" s="1"/>
  <c r="F51" i="4" s="1"/>
  <c r="F52" i="4" s="1"/>
  <c r="F53" i="4" s="1"/>
  <c r="F5" i="4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" i="4"/>
  <c r="F3" i="4"/>
  <c r="C9" i="4"/>
  <c r="C8" i="4"/>
  <c r="C12" i="4"/>
  <c r="C11" i="4"/>
  <c r="C6" i="4"/>
  <c r="I9" i="4" s="1"/>
  <c r="L9" i="4" s="1"/>
  <c r="C6" i="3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C13" i="3"/>
  <c r="C11" i="3"/>
  <c r="C12" i="3" s="1"/>
  <c r="C8" i="3"/>
  <c r="C9" i="3" s="1"/>
  <c r="I51" i="4" l="1"/>
  <c r="L51" i="4" s="1"/>
  <c r="I34" i="4"/>
  <c r="L34" i="4" s="1"/>
  <c r="I33" i="4"/>
  <c r="L33" i="4" s="1"/>
  <c r="I16" i="4"/>
  <c r="L16" i="4" s="1"/>
  <c r="I47" i="4"/>
  <c r="L47" i="4" s="1"/>
  <c r="I30" i="4"/>
  <c r="L30" i="4" s="1"/>
  <c r="I14" i="4"/>
  <c r="L14" i="4" s="1"/>
  <c r="I61" i="4"/>
  <c r="I45" i="4"/>
  <c r="L45" i="4" s="1"/>
  <c r="I29" i="4"/>
  <c r="L29" i="4" s="1"/>
  <c r="I13" i="4"/>
  <c r="L13" i="4" s="1"/>
  <c r="I60" i="4"/>
  <c r="L60" i="4" s="1"/>
  <c r="I44" i="4"/>
  <c r="L44" i="4" s="1"/>
  <c r="I28" i="4"/>
  <c r="L28" i="4" s="1"/>
  <c r="I12" i="4"/>
  <c r="L12" i="4" s="1"/>
  <c r="I35" i="4"/>
  <c r="L35" i="4" s="1"/>
  <c r="I18" i="4"/>
  <c r="L18" i="4" s="1"/>
  <c r="I49" i="4"/>
  <c r="L49" i="4" s="1"/>
  <c r="I32" i="4"/>
  <c r="L32" i="4" s="1"/>
  <c r="I15" i="4"/>
  <c r="L15" i="4" s="1"/>
  <c r="I46" i="4"/>
  <c r="L46" i="4" s="1"/>
  <c r="I43" i="4"/>
  <c r="L43" i="4" s="1"/>
  <c r="I27" i="4"/>
  <c r="L27" i="4" s="1"/>
  <c r="I11" i="4"/>
  <c r="L11" i="4" s="1"/>
  <c r="I58" i="4"/>
  <c r="L58" i="4" s="1"/>
  <c r="I42" i="4"/>
  <c r="L42" i="4" s="1"/>
  <c r="I10" i="4"/>
  <c r="L10" i="4" s="1"/>
  <c r="I19" i="4"/>
  <c r="L19" i="4" s="1"/>
  <c r="I50" i="4"/>
  <c r="L50" i="4" s="1"/>
  <c r="I17" i="4"/>
  <c r="L17" i="4" s="1"/>
  <c r="I48" i="4"/>
  <c r="L48" i="4" s="1"/>
  <c r="I31" i="4"/>
  <c r="L31" i="4" s="1"/>
  <c r="I4" i="4"/>
  <c r="L4" i="4" s="1"/>
  <c r="I59" i="4"/>
  <c r="L59" i="4" s="1"/>
  <c r="I26" i="4"/>
  <c r="L26" i="4" s="1"/>
  <c r="I57" i="4"/>
  <c r="L57" i="4" s="1"/>
  <c r="I41" i="4"/>
  <c r="L41" i="4" s="1"/>
  <c r="I25" i="4"/>
  <c r="L25" i="4" s="1"/>
  <c r="AC4" i="5"/>
  <c r="AC8" i="5"/>
  <c r="AC9" i="5"/>
  <c r="AC39" i="6"/>
  <c r="AD39" i="6" s="1"/>
  <c r="AG39" i="6" s="1"/>
  <c r="AC25" i="6"/>
  <c r="AC12" i="6"/>
  <c r="R59" i="6"/>
  <c r="R43" i="6"/>
  <c r="R27" i="6"/>
  <c r="R11" i="6"/>
  <c r="S11" i="6" s="1"/>
  <c r="G5" i="6"/>
  <c r="H5" i="6" s="1"/>
  <c r="G21" i="6"/>
  <c r="H21" i="6" s="1"/>
  <c r="G37" i="6"/>
  <c r="H37" i="6" s="1"/>
  <c r="G53" i="6"/>
  <c r="H53" i="6" s="1"/>
  <c r="AC50" i="6"/>
  <c r="AD50" i="6" s="1"/>
  <c r="AI50" i="6" s="1"/>
  <c r="AC9" i="6"/>
  <c r="R7" i="6"/>
  <c r="S7" i="6" s="1"/>
  <c r="X7" i="6" s="1"/>
  <c r="G25" i="6"/>
  <c r="H25" i="6" s="1"/>
  <c r="G26" i="6"/>
  <c r="H26" i="6" s="1"/>
  <c r="AC48" i="6"/>
  <c r="AC21" i="6"/>
  <c r="AD21" i="6" s="1"/>
  <c r="AI21" i="6" s="1"/>
  <c r="R53" i="6"/>
  <c r="R21" i="6"/>
  <c r="G59" i="6"/>
  <c r="H59" i="6" s="1"/>
  <c r="AC53" i="6"/>
  <c r="AC38" i="6"/>
  <c r="AD38" i="6" s="1"/>
  <c r="AG38" i="6" s="1"/>
  <c r="AC24" i="6"/>
  <c r="AD24" i="6" s="1"/>
  <c r="AC11" i="6"/>
  <c r="R58" i="6"/>
  <c r="R42" i="6"/>
  <c r="R26" i="6"/>
  <c r="R10" i="6"/>
  <c r="G6" i="6"/>
  <c r="H6" i="6" s="1"/>
  <c r="G22" i="6"/>
  <c r="H22" i="6" s="1"/>
  <c r="G38" i="6"/>
  <c r="H38" i="6" s="1"/>
  <c r="G54" i="6"/>
  <c r="H54" i="6" s="1"/>
  <c r="AC36" i="6"/>
  <c r="R55" i="6"/>
  <c r="R23" i="6"/>
  <c r="G9" i="6"/>
  <c r="AC49" i="6"/>
  <c r="AD49" i="6" s="1"/>
  <c r="AI49" i="6" s="1"/>
  <c r="AC8" i="6"/>
  <c r="R22" i="6"/>
  <c r="G10" i="6"/>
  <c r="G11" i="6"/>
  <c r="AC52" i="6"/>
  <c r="AD52" i="6" s="1"/>
  <c r="AI52" i="6" s="1"/>
  <c r="AC23" i="6"/>
  <c r="AD23" i="6" s="1"/>
  <c r="AI23" i="6" s="1"/>
  <c r="R57" i="6"/>
  <c r="R41" i="6"/>
  <c r="R25" i="6"/>
  <c r="R9" i="6"/>
  <c r="G7" i="6"/>
  <c r="G23" i="6"/>
  <c r="H23" i="6" s="1"/>
  <c r="G39" i="6"/>
  <c r="G55" i="6"/>
  <c r="H55" i="6" s="1"/>
  <c r="AC22" i="6"/>
  <c r="AD22" i="6" s="1"/>
  <c r="AI22" i="6" s="1"/>
  <c r="R39" i="6"/>
  <c r="G57" i="6"/>
  <c r="H57" i="6" s="1"/>
  <c r="AC35" i="6"/>
  <c r="AD35" i="6" s="1"/>
  <c r="AG35" i="6" s="1"/>
  <c r="R54" i="6"/>
  <c r="R6" i="6"/>
  <c r="S6" i="6" s="1"/>
  <c r="X6" i="6" s="1"/>
  <c r="G58" i="6"/>
  <c r="AC51" i="6"/>
  <c r="AD51" i="6" s="1"/>
  <c r="AI51" i="6" s="1"/>
  <c r="AC37" i="6"/>
  <c r="AD37" i="6" s="1"/>
  <c r="AC10" i="6"/>
  <c r="AD10" i="6" s="1"/>
  <c r="AG10" i="6" s="1"/>
  <c r="R56" i="6"/>
  <c r="R40" i="6"/>
  <c r="R24" i="6"/>
  <c r="R8" i="6"/>
  <c r="G8" i="6"/>
  <c r="G24" i="6"/>
  <c r="H24" i="6" s="1"/>
  <c r="G40" i="6"/>
  <c r="G56" i="6"/>
  <c r="H56" i="6" s="1"/>
  <c r="G41" i="6"/>
  <c r="AC63" i="6"/>
  <c r="AD63" i="6" s="1"/>
  <c r="AI63" i="6" s="1"/>
  <c r="R38" i="6"/>
  <c r="G42" i="6"/>
  <c r="AC62" i="6"/>
  <c r="AC34" i="6"/>
  <c r="AC7" i="6"/>
  <c r="AD7" i="6" s="1"/>
  <c r="AI7" i="6" s="1"/>
  <c r="R37" i="6"/>
  <c r="R5" i="6"/>
  <c r="S5" i="6" s="1"/>
  <c r="G27" i="6"/>
  <c r="G43" i="6"/>
  <c r="AC61" i="6"/>
  <c r="AC47" i="6"/>
  <c r="AC33" i="6"/>
  <c r="AC20" i="6"/>
  <c r="R52" i="6"/>
  <c r="R36" i="6"/>
  <c r="R20" i="6"/>
  <c r="R4" i="6"/>
  <c r="S4" i="6" s="1"/>
  <c r="G12" i="6"/>
  <c r="H12" i="6" s="1"/>
  <c r="G28" i="6"/>
  <c r="H28" i="6" s="1"/>
  <c r="G44" i="6"/>
  <c r="H44" i="6" s="1"/>
  <c r="G60" i="6"/>
  <c r="H60" i="6" s="1"/>
  <c r="AC60" i="6"/>
  <c r="AD60" i="6" s="1"/>
  <c r="AC46" i="6"/>
  <c r="AD46" i="6" s="1"/>
  <c r="AG46" i="6" s="1"/>
  <c r="AC32" i="6"/>
  <c r="AD32" i="6" s="1"/>
  <c r="AG32" i="6" s="1"/>
  <c r="AC19" i="6"/>
  <c r="AC6" i="6"/>
  <c r="R51" i="6"/>
  <c r="R35" i="6"/>
  <c r="R19" i="6"/>
  <c r="G13" i="6"/>
  <c r="G29" i="6"/>
  <c r="G45" i="6"/>
  <c r="G61" i="6"/>
  <c r="AC31" i="6"/>
  <c r="AC4" i="6"/>
  <c r="AD4" i="6" s="1"/>
  <c r="AG4" i="6" s="1"/>
  <c r="R30" i="6"/>
  <c r="G31" i="6"/>
  <c r="H31" i="6" s="1"/>
  <c r="AC27" i="6"/>
  <c r="AD27" i="6" s="1"/>
  <c r="AI27" i="6" s="1"/>
  <c r="R17" i="6"/>
  <c r="G35" i="6"/>
  <c r="H35" i="6" s="1"/>
  <c r="AC17" i="6"/>
  <c r="R47" i="6"/>
  <c r="R46" i="6"/>
  <c r="G15" i="6"/>
  <c r="R34" i="6"/>
  <c r="G18" i="6"/>
  <c r="H18" i="6" s="1"/>
  <c r="AC13" i="6"/>
  <c r="G4" i="6"/>
  <c r="H4" i="6" s="1"/>
  <c r="AC30" i="6"/>
  <c r="R63" i="6"/>
  <c r="R29" i="6"/>
  <c r="G32" i="6"/>
  <c r="H32" i="6" s="1"/>
  <c r="R16" i="6"/>
  <c r="AC26" i="6"/>
  <c r="AD26" i="6" s="1"/>
  <c r="AG26" i="6" s="1"/>
  <c r="R15" i="6"/>
  <c r="R13" i="6"/>
  <c r="G48" i="6"/>
  <c r="AC16" i="6"/>
  <c r="G49" i="6"/>
  <c r="AC43" i="6"/>
  <c r="AC5" i="6"/>
  <c r="AD5" i="6" s="1"/>
  <c r="AI5" i="6" s="1"/>
  <c r="AC59" i="6"/>
  <c r="AC29" i="6"/>
  <c r="R62" i="6"/>
  <c r="R28" i="6"/>
  <c r="G33" i="6"/>
  <c r="G34" i="6"/>
  <c r="H34" i="6" s="1"/>
  <c r="R50" i="6"/>
  <c r="G36" i="6"/>
  <c r="H36" i="6" s="1"/>
  <c r="R49" i="6"/>
  <c r="G46" i="6"/>
  <c r="H46" i="6" s="1"/>
  <c r="AC54" i="6"/>
  <c r="AD54" i="6" s="1"/>
  <c r="AI54" i="6" s="1"/>
  <c r="G63" i="6"/>
  <c r="G14" i="6"/>
  <c r="AC15" i="6"/>
  <c r="R45" i="6"/>
  <c r="G16" i="6"/>
  <c r="H16" i="6" s="1"/>
  <c r="G17" i="6"/>
  <c r="AC14" i="6"/>
  <c r="G52" i="6"/>
  <c r="H52" i="6" s="1"/>
  <c r="R33" i="6"/>
  <c r="G19" i="6"/>
  <c r="H19" i="6" s="1"/>
  <c r="AC41" i="6"/>
  <c r="AD41" i="6" s="1"/>
  <c r="AG41" i="6" s="1"/>
  <c r="G20" i="6"/>
  <c r="H20" i="6" s="1"/>
  <c r="R31" i="6"/>
  <c r="AC58" i="6"/>
  <c r="AD58" i="6" s="1"/>
  <c r="AC28" i="6"/>
  <c r="AD28" i="6" s="1"/>
  <c r="R61" i="6"/>
  <c r="R18" i="6"/>
  <c r="AC57" i="6"/>
  <c r="R60" i="6"/>
  <c r="AC55" i="6"/>
  <c r="AC18" i="6"/>
  <c r="R48" i="6"/>
  <c r="G47" i="6"/>
  <c r="G50" i="6"/>
  <c r="H50" i="6" s="1"/>
  <c r="AC44" i="6"/>
  <c r="R44" i="6"/>
  <c r="G51" i="6"/>
  <c r="H51" i="6" s="1"/>
  <c r="AC40" i="6"/>
  <c r="G30" i="6"/>
  <c r="H30" i="6" s="1"/>
  <c r="AC56" i="6"/>
  <c r="AD56" i="6" s="1"/>
  <c r="AI56" i="6" s="1"/>
  <c r="R14" i="6"/>
  <c r="R12" i="6"/>
  <c r="S12" i="6" s="1"/>
  <c r="X12" i="6" s="1"/>
  <c r="AC45" i="6"/>
  <c r="AC42" i="6"/>
  <c r="G62" i="6"/>
  <c r="R32" i="6"/>
  <c r="F48" i="6"/>
  <c r="F9" i="6"/>
  <c r="Q27" i="6"/>
  <c r="AB54" i="6"/>
  <c r="AB19" i="6"/>
  <c r="F41" i="6"/>
  <c r="F8" i="6"/>
  <c r="Q26" i="6"/>
  <c r="AB53" i="6"/>
  <c r="AB8" i="6"/>
  <c r="AD8" i="6" s="1"/>
  <c r="F40" i="6"/>
  <c r="F7" i="6"/>
  <c r="Q59" i="6"/>
  <c r="Q25" i="6"/>
  <c r="AB52" i="6"/>
  <c r="AB9" i="6"/>
  <c r="AB25" i="6"/>
  <c r="AB41" i="6"/>
  <c r="AB57" i="6"/>
  <c r="Q12" i="6"/>
  <c r="Q28" i="6"/>
  <c r="Q44" i="6"/>
  <c r="Q60" i="6"/>
  <c r="F10" i="6"/>
  <c r="F26" i="6"/>
  <c r="F42" i="6"/>
  <c r="F58" i="6"/>
  <c r="AB13" i="6"/>
  <c r="Q32" i="6"/>
  <c r="F30" i="6"/>
  <c r="Q17" i="6"/>
  <c r="F31" i="6"/>
  <c r="AB15" i="6"/>
  <c r="AD15" i="6" s="1"/>
  <c r="Q34" i="6"/>
  <c r="AB10" i="6"/>
  <c r="AB26" i="6"/>
  <c r="AB42" i="6"/>
  <c r="AB58" i="6"/>
  <c r="Q13" i="6"/>
  <c r="Q29" i="6"/>
  <c r="Q45" i="6"/>
  <c r="Q61" i="6"/>
  <c r="F11" i="6"/>
  <c r="F27" i="6"/>
  <c r="F43" i="6"/>
  <c r="F59" i="6"/>
  <c r="AB29" i="6"/>
  <c r="AB61" i="6"/>
  <c r="Q48" i="6"/>
  <c r="F14" i="6"/>
  <c r="F62" i="6"/>
  <c r="AB30" i="6"/>
  <c r="Q33" i="6"/>
  <c r="F15" i="6"/>
  <c r="F47" i="6"/>
  <c r="AB11" i="6"/>
  <c r="AB27" i="6"/>
  <c r="AB43" i="6"/>
  <c r="AD43" i="6" s="1"/>
  <c r="AB59" i="6"/>
  <c r="Q14" i="6"/>
  <c r="Q30" i="6"/>
  <c r="Q46" i="6"/>
  <c r="Q62" i="6"/>
  <c r="F12" i="6"/>
  <c r="F28" i="6"/>
  <c r="F44" i="6"/>
  <c r="F60" i="6"/>
  <c r="AB45" i="6"/>
  <c r="Q16" i="6"/>
  <c r="Q4" i="6"/>
  <c r="F46" i="6"/>
  <c r="AB46" i="6"/>
  <c r="AB62" i="6"/>
  <c r="Q49" i="6"/>
  <c r="AB12" i="6"/>
  <c r="AB28" i="6"/>
  <c r="AB44" i="6"/>
  <c r="AB60" i="6"/>
  <c r="Q15" i="6"/>
  <c r="Q31" i="6"/>
  <c r="Q47" i="6"/>
  <c r="Q63" i="6"/>
  <c r="F13" i="6"/>
  <c r="F29" i="6"/>
  <c r="F45" i="6"/>
  <c r="F61" i="6"/>
  <c r="AB14" i="6"/>
  <c r="F63" i="6"/>
  <c r="AB31" i="6"/>
  <c r="AD31" i="6" s="1"/>
  <c r="AG31" i="6" s="1"/>
  <c r="AB47" i="6"/>
  <c r="AB63" i="6"/>
  <c r="Q18" i="6"/>
  <c r="Q50" i="6"/>
  <c r="F32" i="6"/>
  <c r="AB16" i="6"/>
  <c r="AB32" i="6"/>
  <c r="AB48" i="6"/>
  <c r="AD48" i="6" s="1"/>
  <c r="AI48" i="6" s="1"/>
  <c r="AB4" i="6"/>
  <c r="Q19" i="6"/>
  <c r="Q35" i="6"/>
  <c r="Q51" i="6"/>
  <c r="F17" i="6"/>
  <c r="F33" i="6"/>
  <c r="F49" i="6"/>
  <c r="AB17" i="6"/>
  <c r="AD17" i="6" s="1"/>
  <c r="AB33" i="6"/>
  <c r="AB49" i="6"/>
  <c r="Q20" i="6"/>
  <c r="Q36" i="6"/>
  <c r="Q52" i="6"/>
  <c r="F18" i="6"/>
  <c r="F34" i="6"/>
  <c r="F50" i="6"/>
  <c r="AB18" i="6"/>
  <c r="AD18" i="6" s="1"/>
  <c r="AG18" i="6" s="1"/>
  <c r="AB34" i="6"/>
  <c r="F39" i="6"/>
  <c r="F6" i="6"/>
  <c r="Q58" i="6"/>
  <c r="Q24" i="6"/>
  <c r="AB51" i="6"/>
  <c r="AB6" i="6"/>
  <c r="AI10" i="6"/>
  <c r="AG21" i="6"/>
  <c r="AD34" i="6"/>
  <c r="AI34" i="6" s="1"/>
  <c r="AD36" i="6"/>
  <c r="AG36" i="6" s="1"/>
  <c r="AG5" i="6"/>
  <c r="AD16" i="6"/>
  <c r="AI16" i="6" s="1"/>
  <c r="AD40" i="6"/>
  <c r="AG40" i="6" s="1"/>
  <c r="AD19" i="6"/>
  <c r="AI19" i="6" s="1"/>
  <c r="AD9" i="6"/>
  <c r="AI9" i="6" s="1"/>
  <c r="AD20" i="6"/>
  <c r="AI20" i="6" s="1"/>
  <c r="AD30" i="6"/>
  <c r="AI30" i="6" s="1"/>
  <c r="AD55" i="6"/>
  <c r="AD29" i="6"/>
  <c r="AI29" i="6" s="1"/>
  <c r="AD44" i="6"/>
  <c r="AG44" i="6" s="1"/>
  <c r="S10" i="6"/>
  <c r="X10" i="6" s="1"/>
  <c r="S8" i="6"/>
  <c r="X8" i="6" s="1"/>
  <c r="S9" i="6"/>
  <c r="X9" i="6" s="1"/>
  <c r="AG24" i="6"/>
  <c r="AI24" i="6"/>
  <c r="AI38" i="6"/>
  <c r="AI60" i="6"/>
  <c r="AI36" i="6"/>
  <c r="AI58" i="6"/>
  <c r="AI39" i="6"/>
  <c r="AG15" i="6"/>
  <c r="AI15" i="6"/>
  <c r="AI4" i="6"/>
  <c r="AI55" i="6"/>
  <c r="AG22" i="6"/>
  <c r="V8" i="6"/>
  <c r="AC16" i="5"/>
  <c r="AC17" i="5"/>
  <c r="AC18" i="5"/>
  <c r="AC19" i="5"/>
  <c r="AD4" i="5"/>
  <c r="AC5" i="5"/>
  <c r="AC21" i="5"/>
  <c r="AC6" i="5"/>
  <c r="AC22" i="5"/>
  <c r="AC7" i="5"/>
  <c r="AC23" i="5"/>
  <c r="AI4" i="5"/>
  <c r="AD7" i="5"/>
  <c r="AD5" i="5"/>
  <c r="AD6" i="5"/>
  <c r="Q5" i="5"/>
  <c r="F9" i="5"/>
  <c r="F8" i="5"/>
  <c r="R16" i="5"/>
  <c r="F23" i="5"/>
  <c r="R6" i="5"/>
  <c r="R5" i="5"/>
  <c r="F22" i="5"/>
  <c r="R20" i="5"/>
  <c r="R12" i="5"/>
  <c r="F21" i="5"/>
  <c r="R7" i="5"/>
  <c r="F20" i="5"/>
  <c r="R13" i="5"/>
  <c r="R21" i="5"/>
  <c r="R4" i="5"/>
  <c r="S4" i="5" s="1"/>
  <c r="F4" i="5"/>
  <c r="F19" i="5"/>
  <c r="R8" i="5"/>
  <c r="R19" i="5"/>
  <c r="F18" i="5"/>
  <c r="R14" i="5"/>
  <c r="R22" i="5"/>
  <c r="F17" i="5"/>
  <c r="R9" i="5"/>
  <c r="R11" i="5"/>
  <c r="F16" i="5"/>
  <c r="R15" i="5"/>
  <c r="G23" i="5"/>
  <c r="H23" i="5" s="1"/>
  <c r="M23" i="5" s="1"/>
  <c r="R17" i="5"/>
  <c r="R18" i="5"/>
  <c r="F15" i="5"/>
  <c r="H15" i="5" s="1"/>
  <c r="R10" i="5"/>
  <c r="F7" i="5"/>
  <c r="F6" i="5"/>
  <c r="F5" i="5"/>
  <c r="G13" i="5"/>
  <c r="G14" i="5"/>
  <c r="G22" i="5"/>
  <c r="G15" i="5"/>
  <c r="G4" i="5"/>
  <c r="G16" i="5"/>
  <c r="G8" i="5"/>
  <c r="G17" i="5"/>
  <c r="H17" i="5" s="1"/>
  <c r="G9" i="5"/>
  <c r="G11" i="5"/>
  <c r="G12" i="5"/>
  <c r="G18" i="5"/>
  <c r="G19" i="5"/>
  <c r="G20" i="5"/>
  <c r="G6" i="5"/>
  <c r="G7" i="5"/>
  <c r="G5" i="5"/>
  <c r="G21" i="5"/>
  <c r="G10" i="5"/>
  <c r="H10" i="5" s="1"/>
  <c r="F14" i="5"/>
  <c r="F13" i="5"/>
  <c r="F12" i="5"/>
  <c r="F11" i="5"/>
  <c r="H14" i="5"/>
  <c r="L61" i="4"/>
  <c r="H23" i="3"/>
  <c r="I23" i="3" s="1"/>
  <c r="L23" i="3" s="1"/>
  <c r="H21" i="3"/>
  <c r="I21" i="3" s="1"/>
  <c r="H7" i="3"/>
  <c r="I7" i="3" s="1"/>
  <c r="H5" i="3"/>
  <c r="H8" i="3"/>
  <c r="H9" i="3"/>
  <c r="H11" i="3"/>
  <c r="H12" i="3"/>
  <c r="H6" i="3"/>
  <c r="H22" i="3"/>
  <c r="I22" i="3" s="1"/>
  <c r="H13" i="3"/>
  <c r="I13" i="3" s="1"/>
  <c r="H14" i="3"/>
  <c r="I14" i="3" s="1"/>
  <c r="H15" i="3"/>
  <c r="I15" i="3" s="1"/>
  <c r="H17" i="3"/>
  <c r="I17" i="3" s="1"/>
  <c r="H19" i="3"/>
  <c r="I19" i="3" s="1"/>
  <c r="L19" i="3" s="1"/>
  <c r="H10" i="3"/>
  <c r="I10" i="3" s="1"/>
  <c r="H16" i="3"/>
  <c r="I16" i="3" s="1"/>
  <c r="H18" i="3"/>
  <c r="I18" i="3" s="1"/>
  <c r="H20" i="3"/>
  <c r="I8" i="3"/>
  <c r="I5" i="3"/>
  <c r="I6" i="3"/>
  <c r="I12" i="3"/>
  <c r="I11" i="3"/>
  <c r="I9" i="3"/>
  <c r="I20" i="3"/>
  <c r="L62" i="4" l="1"/>
  <c r="I62" i="4"/>
  <c r="J12" i="4" s="1"/>
  <c r="K12" i="4" s="1"/>
  <c r="J44" i="4"/>
  <c r="K44" i="4" s="1"/>
  <c r="J60" i="4"/>
  <c r="K60" i="4" s="1"/>
  <c r="J45" i="4"/>
  <c r="K45" i="4" s="1"/>
  <c r="J13" i="4"/>
  <c r="K13" i="4" s="1"/>
  <c r="J30" i="4"/>
  <c r="K30" i="4" s="1"/>
  <c r="H8" i="5"/>
  <c r="H9" i="5"/>
  <c r="H7" i="5"/>
  <c r="AG43" i="6"/>
  <c r="AI43" i="6"/>
  <c r="AG28" i="6"/>
  <c r="AI28" i="6"/>
  <c r="V5" i="6"/>
  <c r="X5" i="6"/>
  <c r="AG8" i="6"/>
  <c r="AI8" i="6"/>
  <c r="AG17" i="6"/>
  <c r="AI17" i="6"/>
  <c r="K26" i="6"/>
  <c r="M26" i="6"/>
  <c r="K6" i="6"/>
  <c r="M6" i="6"/>
  <c r="K31" i="6"/>
  <c r="M31" i="6"/>
  <c r="K20" i="6"/>
  <c r="M20" i="6"/>
  <c r="H11" i="6"/>
  <c r="AG34" i="6"/>
  <c r="M50" i="6"/>
  <c r="H29" i="6"/>
  <c r="K18" i="6"/>
  <c r="M18" i="6"/>
  <c r="H13" i="6"/>
  <c r="M56" i="6"/>
  <c r="AD53" i="6"/>
  <c r="AI53" i="6" s="1"/>
  <c r="M60" i="6"/>
  <c r="M32" i="6"/>
  <c r="K32" i="6"/>
  <c r="M51" i="6"/>
  <c r="AD62" i="6"/>
  <c r="AI62" i="6" s="1"/>
  <c r="AI44" i="6"/>
  <c r="H42" i="6"/>
  <c r="AD11" i="6"/>
  <c r="AG9" i="6"/>
  <c r="AG7" i="6"/>
  <c r="M16" i="6"/>
  <c r="K16" i="6"/>
  <c r="H40" i="6"/>
  <c r="H9" i="6"/>
  <c r="M59" i="6"/>
  <c r="H27" i="6"/>
  <c r="K30" i="6"/>
  <c r="M30" i="6"/>
  <c r="M44" i="6"/>
  <c r="K19" i="6"/>
  <c r="M19" i="6"/>
  <c r="K5" i="6"/>
  <c r="M5" i="6"/>
  <c r="AD14" i="6"/>
  <c r="H41" i="6"/>
  <c r="H17" i="6"/>
  <c r="AI32" i="6"/>
  <c r="AI46" i="6"/>
  <c r="AI31" i="6"/>
  <c r="H15" i="6"/>
  <c r="AD33" i="6"/>
  <c r="M24" i="6"/>
  <c r="K24" i="6"/>
  <c r="M55" i="6"/>
  <c r="M46" i="6"/>
  <c r="K22" i="6"/>
  <c r="M22" i="6"/>
  <c r="AI37" i="6"/>
  <c r="AG37" i="6"/>
  <c r="M28" i="6"/>
  <c r="K28" i="6"/>
  <c r="H33" i="6"/>
  <c r="K21" i="6"/>
  <c r="M21" i="6"/>
  <c r="M52" i="6"/>
  <c r="M57" i="6"/>
  <c r="V10" i="6"/>
  <c r="AG20" i="6"/>
  <c r="AG30" i="6"/>
  <c r="H62" i="6"/>
  <c r="H49" i="6"/>
  <c r="AD47" i="6"/>
  <c r="H8" i="6"/>
  <c r="H39" i="6"/>
  <c r="AD12" i="6"/>
  <c r="K35" i="6"/>
  <c r="M35" i="6"/>
  <c r="K34" i="6"/>
  <c r="M34" i="6"/>
  <c r="M53" i="6"/>
  <c r="M37" i="6"/>
  <c r="AI26" i="6"/>
  <c r="H45" i="6"/>
  <c r="AD13" i="6"/>
  <c r="V6" i="6"/>
  <c r="AD42" i="6"/>
  <c r="AD57" i="6"/>
  <c r="AI57" i="6" s="1"/>
  <c r="H14" i="6"/>
  <c r="AD6" i="6"/>
  <c r="AD61" i="6"/>
  <c r="AI61" i="6" s="1"/>
  <c r="M23" i="6"/>
  <c r="K23" i="6"/>
  <c r="AD25" i="6"/>
  <c r="M38" i="6"/>
  <c r="M25" i="6"/>
  <c r="K25" i="6"/>
  <c r="M36" i="6"/>
  <c r="H58" i="6"/>
  <c r="AI41" i="6"/>
  <c r="M12" i="6"/>
  <c r="K12" i="6"/>
  <c r="H61" i="6"/>
  <c r="H10" i="6"/>
  <c r="AG23" i="6"/>
  <c r="M4" i="6"/>
  <c r="K4" i="6"/>
  <c r="H47" i="6"/>
  <c r="AI40" i="6"/>
  <c r="AD59" i="6"/>
  <c r="AI59" i="6" s="1"/>
  <c r="AD45" i="6"/>
  <c r="H63" i="6"/>
  <c r="H48" i="6"/>
  <c r="H43" i="6"/>
  <c r="H7" i="6"/>
  <c r="H64" i="6" s="1"/>
  <c r="M54" i="6"/>
  <c r="AG19" i="6"/>
  <c r="AG16" i="6"/>
  <c r="AG29" i="6"/>
  <c r="AI18" i="6"/>
  <c r="AI35" i="6"/>
  <c r="AG27" i="6"/>
  <c r="V7" i="6"/>
  <c r="V9" i="6"/>
  <c r="V12" i="6"/>
  <c r="S13" i="6"/>
  <c r="X11" i="6"/>
  <c r="V11" i="6"/>
  <c r="X4" i="6"/>
  <c r="V4" i="6"/>
  <c r="Q6" i="5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S23" i="5" s="1"/>
  <c r="X23" i="5" s="1"/>
  <c r="AG4" i="5"/>
  <c r="S5" i="5"/>
  <c r="S8" i="5"/>
  <c r="X8" i="5" s="1"/>
  <c r="S16" i="5"/>
  <c r="V16" i="5" s="1"/>
  <c r="AI7" i="5"/>
  <c r="AG7" i="5"/>
  <c r="AD8" i="5"/>
  <c r="AG6" i="5"/>
  <c r="AI6" i="5"/>
  <c r="AI5" i="5"/>
  <c r="AG5" i="5"/>
  <c r="H21" i="5"/>
  <c r="M21" i="5" s="1"/>
  <c r="H20" i="5"/>
  <c r="M20" i="5" s="1"/>
  <c r="V4" i="5"/>
  <c r="X4" i="5"/>
  <c r="X5" i="5"/>
  <c r="V5" i="5"/>
  <c r="H16" i="5"/>
  <c r="K16" i="5" s="1"/>
  <c r="H4" i="5"/>
  <c r="H22" i="5"/>
  <c r="M22" i="5" s="1"/>
  <c r="H5" i="5"/>
  <c r="M5" i="5" s="1"/>
  <c r="S6" i="5"/>
  <c r="H19" i="5"/>
  <c r="K19" i="5" s="1"/>
  <c r="H18" i="5"/>
  <c r="K18" i="5" s="1"/>
  <c r="H11" i="5"/>
  <c r="K11" i="5" s="1"/>
  <c r="H6" i="5"/>
  <c r="M6" i="5" s="1"/>
  <c r="K6" i="5"/>
  <c r="M9" i="5"/>
  <c r="K9" i="5"/>
  <c r="K8" i="5"/>
  <c r="M8" i="5"/>
  <c r="M4" i="5"/>
  <c r="K4" i="5"/>
  <c r="K17" i="5"/>
  <c r="M17" i="5"/>
  <c r="K10" i="5"/>
  <c r="M10" i="5"/>
  <c r="K14" i="5"/>
  <c r="M14" i="5"/>
  <c r="K15" i="5"/>
  <c r="M15" i="5"/>
  <c r="M7" i="5"/>
  <c r="K7" i="5"/>
  <c r="J47" i="4"/>
  <c r="K47" i="4" s="1"/>
  <c r="J32" i="4"/>
  <c r="K32" i="4" s="1"/>
  <c r="J49" i="4"/>
  <c r="K49" i="4" s="1"/>
  <c r="J19" i="4"/>
  <c r="K19" i="4" s="1"/>
  <c r="J52" i="4"/>
  <c r="K52" i="4" s="1"/>
  <c r="J37" i="4"/>
  <c r="K37" i="4" s="1"/>
  <c r="J54" i="4"/>
  <c r="K54" i="4" s="1"/>
  <c r="J40" i="4"/>
  <c r="K40" i="4" s="1"/>
  <c r="J9" i="4"/>
  <c r="K9" i="4" s="1"/>
  <c r="J48" i="4"/>
  <c r="K48" i="4" s="1"/>
  <c r="J17" i="4"/>
  <c r="K17" i="4" s="1"/>
  <c r="J18" i="4"/>
  <c r="K18" i="4" s="1"/>
  <c r="J35" i="4"/>
  <c r="K35" i="4" s="1"/>
  <c r="J39" i="4"/>
  <c r="K39" i="4" s="1"/>
  <c r="J33" i="4"/>
  <c r="K33" i="4" s="1"/>
  <c r="J50" i="4"/>
  <c r="K50" i="4" s="1"/>
  <c r="J51" i="4"/>
  <c r="K51" i="4" s="1"/>
  <c r="J24" i="4"/>
  <c r="K24" i="4" s="1"/>
  <c r="J26" i="4"/>
  <c r="K26" i="4" s="1"/>
  <c r="J20" i="4"/>
  <c r="K20" i="4" s="1"/>
  <c r="J53" i="4"/>
  <c r="K53" i="4" s="1"/>
  <c r="J38" i="4"/>
  <c r="K38" i="4" s="1"/>
  <c r="J8" i="4"/>
  <c r="K8" i="4" s="1"/>
  <c r="J10" i="4"/>
  <c r="K10" i="4" s="1"/>
  <c r="J23" i="4"/>
  <c r="K23" i="4" s="1"/>
  <c r="J41" i="4"/>
  <c r="K41" i="4" s="1"/>
  <c r="J5" i="4"/>
  <c r="K5" i="4" s="1"/>
  <c r="J56" i="4"/>
  <c r="K56" i="4" s="1"/>
  <c r="J7" i="4"/>
  <c r="K7" i="4" s="1"/>
  <c r="J6" i="4"/>
  <c r="K6" i="4" s="1"/>
  <c r="J55" i="4"/>
  <c r="K55" i="4" s="1"/>
  <c r="J25" i="4"/>
  <c r="K25" i="4" s="1"/>
  <c r="J57" i="4"/>
  <c r="K57" i="4" s="1"/>
  <c r="J42" i="4"/>
  <c r="K42" i="4" s="1"/>
  <c r="J4" i="4"/>
  <c r="K4" i="4" s="1"/>
  <c r="J11" i="4"/>
  <c r="K11" i="4" s="1"/>
  <c r="L16" i="3"/>
  <c r="L10" i="3"/>
  <c r="L18" i="3"/>
  <c r="L13" i="3"/>
  <c r="L17" i="3"/>
  <c r="L20" i="3"/>
  <c r="L21" i="3"/>
  <c r="L7" i="3"/>
  <c r="L9" i="3"/>
  <c r="L11" i="3"/>
  <c r="L12" i="3"/>
  <c r="L6" i="3"/>
  <c r="L22" i="3"/>
  <c r="L5" i="3"/>
  <c r="L8" i="3"/>
  <c r="L14" i="3"/>
  <c r="L15" i="3"/>
  <c r="I24" i="3"/>
  <c r="J22" i="4" l="1"/>
  <c r="K22" i="4" s="1"/>
  <c r="C19" i="4"/>
  <c r="J14" i="4"/>
  <c r="K14" i="4" s="1"/>
  <c r="K62" i="4" s="1"/>
  <c r="C17" i="4" s="1"/>
  <c r="C18" i="4" s="1"/>
  <c r="J59" i="4"/>
  <c r="K59" i="4" s="1"/>
  <c r="J43" i="4"/>
  <c r="K43" i="4" s="1"/>
  <c r="J27" i="4"/>
  <c r="K27" i="4" s="1"/>
  <c r="J15" i="4"/>
  <c r="K15" i="4" s="1"/>
  <c r="J46" i="4"/>
  <c r="K46" i="4" s="1"/>
  <c r="J58" i="4"/>
  <c r="K58" i="4" s="1"/>
  <c r="J29" i="4"/>
  <c r="K29" i="4" s="1"/>
  <c r="J34" i="4"/>
  <c r="K34" i="4" s="1"/>
  <c r="J21" i="4"/>
  <c r="K21" i="4" s="1"/>
  <c r="J31" i="4"/>
  <c r="K31" i="4" s="1"/>
  <c r="J16" i="4"/>
  <c r="K16" i="4" s="1"/>
  <c r="J36" i="4"/>
  <c r="K36" i="4" s="1"/>
  <c r="J28" i="4"/>
  <c r="K28" i="4" s="1"/>
  <c r="J61" i="4"/>
  <c r="K61" i="4" s="1"/>
  <c r="X16" i="5"/>
  <c r="S10" i="5"/>
  <c r="S9" i="5"/>
  <c r="S13" i="5"/>
  <c r="S11" i="5"/>
  <c r="V11" i="5" s="1"/>
  <c r="S21" i="5"/>
  <c r="X21" i="5" s="1"/>
  <c r="S19" i="5"/>
  <c r="X19" i="5" s="1"/>
  <c r="S14" i="5"/>
  <c r="V14" i="5" s="1"/>
  <c r="S18" i="5"/>
  <c r="X18" i="5" s="1"/>
  <c r="S22" i="5"/>
  <c r="S15" i="5"/>
  <c r="S17" i="5"/>
  <c r="X17" i="5" s="1"/>
  <c r="S7" i="5"/>
  <c r="S24" i="5" s="1"/>
  <c r="S12" i="5"/>
  <c r="X12" i="5" s="1"/>
  <c r="V8" i="5"/>
  <c r="S20" i="5"/>
  <c r="X20" i="5" s="1"/>
  <c r="I34" i="6"/>
  <c r="J34" i="6" s="1"/>
  <c r="I18" i="6"/>
  <c r="J18" i="6" s="1"/>
  <c r="I52" i="6"/>
  <c r="J52" i="6" s="1"/>
  <c r="I23" i="6"/>
  <c r="J23" i="6" s="1"/>
  <c r="I56" i="6"/>
  <c r="J56" i="6" s="1"/>
  <c r="I5" i="6"/>
  <c r="J5" i="6" s="1"/>
  <c r="I32" i="6"/>
  <c r="J32" i="6" s="1"/>
  <c r="I28" i="6"/>
  <c r="J28" i="6" s="1"/>
  <c r="I30" i="6"/>
  <c r="J30" i="6" s="1"/>
  <c r="I21" i="6"/>
  <c r="J21" i="6" s="1"/>
  <c r="I19" i="6"/>
  <c r="J19" i="6" s="1"/>
  <c r="I55" i="6"/>
  <c r="J55" i="6" s="1"/>
  <c r="I31" i="6"/>
  <c r="J31" i="6" s="1"/>
  <c r="I16" i="6"/>
  <c r="J16" i="6" s="1"/>
  <c r="I46" i="6"/>
  <c r="J46" i="6" s="1"/>
  <c r="I57" i="6"/>
  <c r="J57" i="6" s="1"/>
  <c r="I53" i="6"/>
  <c r="J53" i="6" s="1"/>
  <c r="I4" i="6"/>
  <c r="J4" i="6" s="1"/>
  <c r="I20" i="6"/>
  <c r="J20" i="6" s="1"/>
  <c r="I36" i="6"/>
  <c r="J36" i="6" s="1"/>
  <c r="I22" i="6"/>
  <c r="J22" i="6" s="1"/>
  <c r="I38" i="6"/>
  <c r="J38" i="6" s="1"/>
  <c r="I37" i="6"/>
  <c r="J37" i="6" s="1"/>
  <c r="I60" i="6"/>
  <c r="J60" i="6" s="1"/>
  <c r="I59" i="6"/>
  <c r="J59" i="6" s="1"/>
  <c r="I44" i="6"/>
  <c r="J44" i="6" s="1"/>
  <c r="I35" i="6"/>
  <c r="J35" i="6" s="1"/>
  <c r="I24" i="6"/>
  <c r="J24" i="6" s="1"/>
  <c r="I6" i="6"/>
  <c r="J6" i="6" s="1"/>
  <c r="I50" i="6"/>
  <c r="J50" i="6" s="1"/>
  <c r="I54" i="6"/>
  <c r="J54" i="6" s="1"/>
  <c r="I25" i="6"/>
  <c r="J25" i="6" s="1"/>
  <c r="I51" i="6"/>
  <c r="J51" i="6" s="1"/>
  <c r="I26" i="6"/>
  <c r="J26" i="6" s="1"/>
  <c r="I12" i="6"/>
  <c r="J12" i="6" s="1"/>
  <c r="I33" i="6"/>
  <c r="J33" i="6" s="1"/>
  <c r="K33" i="6"/>
  <c r="M33" i="6"/>
  <c r="I63" i="6"/>
  <c r="J63" i="6" s="1"/>
  <c r="M63" i="6"/>
  <c r="I15" i="6"/>
  <c r="J15" i="6" s="1"/>
  <c r="K15" i="6"/>
  <c r="M15" i="6"/>
  <c r="AG47" i="6"/>
  <c r="AI47" i="6"/>
  <c r="AI6" i="6"/>
  <c r="AG6" i="6"/>
  <c r="AH48" i="6" s="1"/>
  <c r="I8" i="6"/>
  <c r="J8" i="6" s="1"/>
  <c r="M8" i="6"/>
  <c r="K8" i="6"/>
  <c r="AI13" i="6"/>
  <c r="AG13" i="6"/>
  <c r="M11" i="6"/>
  <c r="K11" i="6"/>
  <c r="I11" i="6"/>
  <c r="J11" i="6" s="1"/>
  <c r="M45" i="6"/>
  <c r="I45" i="6"/>
  <c r="J45" i="6" s="1"/>
  <c r="K9" i="6"/>
  <c r="L35" i="6" s="1"/>
  <c r="I9" i="6"/>
  <c r="J9" i="6" s="1"/>
  <c r="M9" i="6"/>
  <c r="M64" i="6" s="1"/>
  <c r="F68" i="6" s="1"/>
  <c r="AE59" i="6"/>
  <c r="AF59" i="6" s="1"/>
  <c r="M40" i="6"/>
  <c r="I40" i="6"/>
  <c r="J40" i="6" s="1"/>
  <c r="AG12" i="6"/>
  <c r="AI12" i="6"/>
  <c r="I58" i="6"/>
  <c r="J58" i="6" s="1"/>
  <c r="M58" i="6"/>
  <c r="M62" i="6"/>
  <c r="I62" i="6"/>
  <c r="J62" i="6" s="1"/>
  <c r="AG11" i="6"/>
  <c r="AI11" i="6"/>
  <c r="AE6" i="6"/>
  <c r="AF6" i="6" s="1"/>
  <c r="M61" i="6"/>
  <c r="I61" i="6"/>
  <c r="J61" i="6" s="1"/>
  <c r="AI64" i="6"/>
  <c r="AB68" i="6" s="1"/>
  <c r="I42" i="6"/>
  <c r="J42" i="6" s="1"/>
  <c r="M42" i="6"/>
  <c r="K14" i="6"/>
  <c r="M14" i="6"/>
  <c r="I14" i="6"/>
  <c r="J14" i="6" s="1"/>
  <c r="I39" i="6"/>
  <c r="J39" i="6" s="1"/>
  <c r="M39" i="6"/>
  <c r="AI45" i="6"/>
  <c r="AG45" i="6"/>
  <c r="AD64" i="6"/>
  <c r="AE62" i="6" s="1"/>
  <c r="AF62" i="6" s="1"/>
  <c r="I41" i="6"/>
  <c r="J41" i="6" s="1"/>
  <c r="M41" i="6"/>
  <c r="AG14" i="6"/>
  <c r="AI14" i="6"/>
  <c r="I7" i="6"/>
  <c r="J7" i="6" s="1"/>
  <c r="M7" i="6"/>
  <c r="K7" i="6"/>
  <c r="M43" i="6"/>
  <c r="I43" i="6"/>
  <c r="J43" i="6" s="1"/>
  <c r="M29" i="6"/>
  <c r="I29" i="6"/>
  <c r="J29" i="6" s="1"/>
  <c r="K29" i="6"/>
  <c r="I48" i="6"/>
  <c r="J48" i="6" s="1"/>
  <c r="M48" i="6"/>
  <c r="AG33" i="6"/>
  <c r="AI33" i="6"/>
  <c r="AG42" i="6"/>
  <c r="AI42" i="6"/>
  <c r="M27" i="6"/>
  <c r="K27" i="6"/>
  <c r="I27" i="6"/>
  <c r="J27" i="6" s="1"/>
  <c r="M49" i="6"/>
  <c r="I49" i="6"/>
  <c r="J49" i="6" s="1"/>
  <c r="I47" i="6"/>
  <c r="J47" i="6" s="1"/>
  <c r="M47" i="6"/>
  <c r="M17" i="6"/>
  <c r="I17" i="6"/>
  <c r="J17" i="6" s="1"/>
  <c r="K17" i="6"/>
  <c r="AI25" i="6"/>
  <c r="AG25" i="6"/>
  <c r="AE11" i="6"/>
  <c r="AF11" i="6" s="1"/>
  <c r="M10" i="6"/>
  <c r="I10" i="6"/>
  <c r="J10" i="6" s="1"/>
  <c r="K10" i="6"/>
  <c r="M13" i="6"/>
  <c r="I13" i="6"/>
  <c r="J13" i="6" s="1"/>
  <c r="K13" i="6"/>
  <c r="V13" i="6"/>
  <c r="X13" i="6"/>
  <c r="S14" i="6"/>
  <c r="K5" i="5"/>
  <c r="X11" i="5"/>
  <c r="AG8" i="5"/>
  <c r="AI8" i="5"/>
  <c r="AD9" i="5"/>
  <c r="M19" i="5"/>
  <c r="M16" i="5"/>
  <c r="V9" i="5"/>
  <c r="V13" i="5"/>
  <c r="V6" i="5"/>
  <c r="V7" i="5"/>
  <c r="X22" i="5"/>
  <c r="X10" i="5"/>
  <c r="V10" i="5"/>
  <c r="X6" i="5"/>
  <c r="X13" i="5"/>
  <c r="M18" i="5"/>
  <c r="M11" i="5"/>
  <c r="X9" i="5"/>
  <c r="J11" i="3"/>
  <c r="K11" i="3" s="1"/>
  <c r="J21" i="3"/>
  <c r="K21" i="3" s="1"/>
  <c r="J17" i="3"/>
  <c r="K17" i="3" s="1"/>
  <c r="J8" i="3"/>
  <c r="K8" i="3" s="1"/>
  <c r="J22" i="3"/>
  <c r="K22" i="3" s="1"/>
  <c r="J5" i="3"/>
  <c r="K5" i="3" s="1"/>
  <c r="J13" i="3"/>
  <c r="K13" i="3" s="1"/>
  <c r="J6" i="3"/>
  <c r="K6" i="3" s="1"/>
  <c r="J20" i="3"/>
  <c r="K20" i="3" s="1"/>
  <c r="J23" i="3"/>
  <c r="K23" i="3" s="1"/>
  <c r="J12" i="3"/>
  <c r="K12" i="3" s="1"/>
  <c r="J18" i="3"/>
  <c r="K18" i="3" s="1"/>
  <c r="L24" i="3"/>
  <c r="C19" i="3" s="1"/>
  <c r="J19" i="3"/>
  <c r="K19" i="3" s="1"/>
  <c r="J9" i="3"/>
  <c r="K9" i="3" s="1"/>
  <c r="J10" i="3"/>
  <c r="K10" i="3" s="1"/>
  <c r="J15" i="3"/>
  <c r="K15" i="3" s="1"/>
  <c r="J16" i="3"/>
  <c r="K16" i="3" s="1"/>
  <c r="J14" i="3"/>
  <c r="K14" i="3" s="1"/>
  <c r="J7" i="3"/>
  <c r="K7" i="3" s="1"/>
  <c r="Q10" i="4" l="1"/>
  <c r="R12" i="4"/>
  <c r="Q5" i="4"/>
  <c r="Q7" i="4"/>
  <c r="Q6" i="4"/>
  <c r="R13" i="4"/>
  <c r="R9" i="4"/>
  <c r="Q12" i="4"/>
  <c r="R3" i="4"/>
  <c r="R8" i="4"/>
  <c r="R10" i="4"/>
  <c r="Q15" i="4"/>
  <c r="R4" i="4"/>
  <c r="R14" i="4"/>
  <c r="Q11" i="4"/>
  <c r="R7" i="4"/>
  <c r="R11" i="4"/>
  <c r="Q4" i="4"/>
  <c r="R16" i="4"/>
  <c r="Q17" i="4"/>
  <c r="R5" i="4"/>
  <c r="Q8" i="4"/>
  <c r="R6" i="4"/>
  <c r="Q9" i="4"/>
  <c r="Q16" i="4"/>
  <c r="Q3" i="4"/>
  <c r="Q13" i="4"/>
  <c r="Q14" i="4"/>
  <c r="R17" i="4"/>
  <c r="R15" i="4"/>
  <c r="X7" i="5"/>
  <c r="V15" i="5"/>
  <c r="X15" i="5"/>
  <c r="V18" i="5"/>
  <c r="V17" i="5"/>
  <c r="V12" i="5"/>
  <c r="X14" i="5"/>
  <c r="AE14" i="6"/>
  <c r="AF14" i="6" s="1"/>
  <c r="AE49" i="6"/>
  <c r="AF49" i="6" s="1"/>
  <c r="AE43" i="6"/>
  <c r="AF43" i="6" s="1"/>
  <c r="AE51" i="6"/>
  <c r="AF51" i="6" s="1"/>
  <c r="AE21" i="6"/>
  <c r="AF21" i="6" s="1"/>
  <c r="AE9" i="6"/>
  <c r="AF9" i="6" s="1"/>
  <c r="AE26" i="6"/>
  <c r="AF26" i="6" s="1"/>
  <c r="AE24" i="6"/>
  <c r="AF24" i="6" s="1"/>
  <c r="AE29" i="6"/>
  <c r="AF29" i="6" s="1"/>
  <c r="AE25" i="6"/>
  <c r="AF25" i="6" s="1"/>
  <c r="AE35" i="6"/>
  <c r="AF35" i="6" s="1"/>
  <c r="AE53" i="6"/>
  <c r="AF53" i="6" s="1"/>
  <c r="AE4" i="6"/>
  <c r="AF4" i="6" s="1"/>
  <c r="AE20" i="6"/>
  <c r="AF20" i="6" s="1"/>
  <c r="AE52" i="6"/>
  <c r="AF52" i="6" s="1"/>
  <c r="AE55" i="6"/>
  <c r="AF55" i="6" s="1"/>
  <c r="AE16" i="6"/>
  <c r="AF16" i="6" s="1"/>
  <c r="AE38" i="6"/>
  <c r="AF38" i="6" s="1"/>
  <c r="AE28" i="6"/>
  <c r="AF28" i="6" s="1"/>
  <c r="AE23" i="6"/>
  <c r="AF23" i="6" s="1"/>
  <c r="AE60" i="6"/>
  <c r="AF60" i="6" s="1"/>
  <c r="AE36" i="6"/>
  <c r="AF36" i="6" s="1"/>
  <c r="AE10" i="6"/>
  <c r="AF10" i="6" s="1"/>
  <c r="AE5" i="6"/>
  <c r="AF5" i="6" s="1"/>
  <c r="AE19" i="6"/>
  <c r="AF19" i="6" s="1"/>
  <c r="AE27" i="6"/>
  <c r="AF27" i="6" s="1"/>
  <c r="AE31" i="6"/>
  <c r="AF31" i="6" s="1"/>
  <c r="AE22" i="6"/>
  <c r="AF22" i="6" s="1"/>
  <c r="AE8" i="6"/>
  <c r="AF8" i="6" s="1"/>
  <c r="AE58" i="6"/>
  <c r="AF58" i="6" s="1"/>
  <c r="AE34" i="6"/>
  <c r="AF34" i="6" s="1"/>
  <c r="AE42" i="6"/>
  <c r="AF42" i="6" s="1"/>
  <c r="AE50" i="6"/>
  <c r="AF50" i="6" s="1"/>
  <c r="AE32" i="6"/>
  <c r="AF32" i="6" s="1"/>
  <c r="AE37" i="6"/>
  <c r="AF37" i="6" s="1"/>
  <c r="AE17" i="6"/>
  <c r="AF17" i="6" s="1"/>
  <c r="AE18" i="6"/>
  <c r="AF18" i="6" s="1"/>
  <c r="AE54" i="6"/>
  <c r="AF54" i="6" s="1"/>
  <c r="AE45" i="6"/>
  <c r="AF45" i="6" s="1"/>
  <c r="AE41" i="6"/>
  <c r="AF41" i="6" s="1"/>
  <c r="AE56" i="6"/>
  <c r="AF56" i="6" s="1"/>
  <c r="AE44" i="6"/>
  <c r="AF44" i="6" s="1"/>
  <c r="AE30" i="6"/>
  <c r="AF30" i="6" s="1"/>
  <c r="AE46" i="6"/>
  <c r="AF46" i="6" s="1"/>
  <c r="AE48" i="6"/>
  <c r="AF48" i="6" s="1"/>
  <c r="AE7" i="6"/>
  <c r="AF7" i="6" s="1"/>
  <c r="AE47" i="6"/>
  <c r="AF47" i="6" s="1"/>
  <c r="AE61" i="6"/>
  <c r="AF61" i="6" s="1"/>
  <c r="AE15" i="6"/>
  <c r="AF15" i="6" s="1"/>
  <c r="AE39" i="6"/>
  <c r="AF39" i="6" s="1"/>
  <c r="AE40" i="6"/>
  <c r="AF40" i="6" s="1"/>
  <c r="AE63" i="6"/>
  <c r="AF63" i="6" s="1"/>
  <c r="AE13" i="6"/>
  <c r="AF13" i="6" s="1"/>
  <c r="J64" i="6"/>
  <c r="F66" i="6" s="1"/>
  <c r="AE57" i="6"/>
  <c r="AF57" i="6" s="1"/>
  <c r="AE12" i="6"/>
  <c r="AF12" i="6" s="1"/>
  <c r="AE33" i="6"/>
  <c r="AF33" i="6" s="1"/>
  <c r="X14" i="6"/>
  <c r="V14" i="6"/>
  <c r="S15" i="6"/>
  <c r="AI9" i="5"/>
  <c r="AG9" i="5"/>
  <c r="T12" i="5"/>
  <c r="AD10" i="5"/>
  <c r="T17" i="5"/>
  <c r="T13" i="5"/>
  <c r="T21" i="5"/>
  <c r="T15" i="5"/>
  <c r="T16" i="5"/>
  <c r="T23" i="5"/>
  <c r="T5" i="5"/>
  <c r="T8" i="5"/>
  <c r="T20" i="5"/>
  <c r="T11" i="5"/>
  <c r="T4" i="5"/>
  <c r="T6" i="5"/>
  <c r="T10" i="5"/>
  <c r="T9" i="5"/>
  <c r="T7" i="5"/>
  <c r="T14" i="5"/>
  <c r="W19" i="5"/>
  <c r="T18" i="5"/>
  <c r="T22" i="5"/>
  <c r="T19" i="5"/>
  <c r="X24" i="5"/>
  <c r="Q28" i="5" s="1"/>
  <c r="D29" i="1" s="1"/>
  <c r="K24" i="3"/>
  <c r="C17" i="3" s="1"/>
  <c r="C18" i="3" s="1"/>
  <c r="AF64" i="6" l="1"/>
  <c r="AB66" i="6" s="1"/>
  <c r="AB67" i="6" s="1"/>
  <c r="C20" i="1"/>
  <c r="F67" i="6"/>
  <c r="V15" i="6"/>
  <c r="X15" i="6"/>
  <c r="S16" i="6"/>
  <c r="AI10" i="5"/>
  <c r="AG10" i="5"/>
  <c r="AD11" i="5"/>
  <c r="R5" i="3"/>
  <c r="Q13" i="3"/>
  <c r="R14" i="3"/>
  <c r="Q17" i="3"/>
  <c r="R9" i="3"/>
  <c r="Q5" i="3"/>
  <c r="Q4" i="3"/>
  <c r="R6" i="3"/>
  <c r="R12" i="3"/>
  <c r="R15" i="3"/>
  <c r="Q9" i="3"/>
  <c r="Q3" i="3"/>
  <c r="Q11" i="3"/>
  <c r="Q12" i="3"/>
  <c r="R3" i="3"/>
  <c r="Q15" i="3"/>
  <c r="Q7" i="3"/>
  <c r="Q8" i="3"/>
  <c r="R16" i="3"/>
  <c r="R17" i="3"/>
  <c r="R7" i="3"/>
  <c r="Q16" i="3"/>
  <c r="Q14" i="3"/>
  <c r="R11" i="3"/>
  <c r="R10" i="3"/>
  <c r="R8" i="3"/>
  <c r="Q6" i="3"/>
  <c r="Q10" i="3"/>
  <c r="R4" i="3"/>
  <c r="R13" i="3"/>
  <c r="X16" i="6" l="1"/>
  <c r="V16" i="6"/>
  <c r="S17" i="6"/>
  <c r="AI11" i="5"/>
  <c r="AG11" i="5"/>
  <c r="AD12" i="5"/>
  <c r="V17" i="6" l="1"/>
  <c r="X17" i="6"/>
  <c r="S18" i="6"/>
  <c r="AG12" i="5"/>
  <c r="AI12" i="5"/>
  <c r="AD13" i="5"/>
  <c r="S19" i="6" l="1"/>
  <c r="X18" i="6"/>
  <c r="V18" i="6"/>
  <c r="AI13" i="5"/>
  <c r="AG13" i="5"/>
  <c r="AD14" i="5"/>
  <c r="S20" i="6" l="1"/>
  <c r="V19" i="6"/>
  <c r="X19" i="6"/>
  <c r="AI14" i="5"/>
  <c r="AG14" i="5"/>
  <c r="AD15" i="5"/>
  <c r="V20" i="6" l="1"/>
  <c r="X20" i="6"/>
  <c r="S21" i="6"/>
  <c r="AI15" i="5"/>
  <c r="AG15" i="5"/>
  <c r="AD16" i="5"/>
  <c r="V21" i="6" l="1"/>
  <c r="X21" i="6"/>
  <c r="S22" i="6"/>
  <c r="AI16" i="5"/>
  <c r="AG16" i="5"/>
  <c r="AD17" i="5"/>
  <c r="X22" i="6" l="1"/>
  <c r="V22" i="6"/>
  <c r="S23" i="6"/>
  <c r="AI17" i="5"/>
  <c r="AG17" i="5"/>
  <c r="AD18" i="5"/>
  <c r="X23" i="6" l="1"/>
  <c r="V23" i="6"/>
  <c r="S24" i="6"/>
  <c r="AD19" i="5"/>
  <c r="AI18" i="5"/>
  <c r="AG18" i="5"/>
  <c r="AH20" i="5" s="1"/>
  <c r="X24" i="6" l="1"/>
  <c r="V24" i="6"/>
  <c r="W25" i="6" s="1"/>
  <c r="S25" i="6"/>
  <c r="AG19" i="5"/>
  <c r="AI19" i="5"/>
  <c r="AD20" i="5"/>
  <c r="X25" i="6" l="1"/>
  <c r="S26" i="6"/>
  <c r="AI20" i="5"/>
  <c r="AD21" i="5"/>
  <c r="S27" i="6" l="1"/>
  <c r="X26" i="6"/>
  <c r="AI21" i="5"/>
  <c r="AD22" i="5"/>
  <c r="AD23" i="5"/>
  <c r="X27" i="6" l="1"/>
  <c r="S28" i="6"/>
  <c r="AI23" i="5"/>
  <c r="AD24" i="5"/>
  <c r="AI22" i="5"/>
  <c r="X28" i="6" l="1"/>
  <c r="S29" i="6"/>
  <c r="AE7" i="5"/>
  <c r="AF7" i="5" s="1"/>
  <c r="AE5" i="5"/>
  <c r="AF5" i="5" s="1"/>
  <c r="AE4" i="5"/>
  <c r="AF4" i="5" s="1"/>
  <c r="AE6" i="5"/>
  <c r="AF6" i="5" s="1"/>
  <c r="AE8" i="5"/>
  <c r="AF8" i="5" s="1"/>
  <c r="AE9" i="5"/>
  <c r="AF9" i="5" s="1"/>
  <c r="AE10" i="5"/>
  <c r="AF10" i="5" s="1"/>
  <c r="AE11" i="5"/>
  <c r="AF11" i="5" s="1"/>
  <c r="AE12" i="5"/>
  <c r="AF12" i="5" s="1"/>
  <c r="AE13" i="5"/>
  <c r="AF13" i="5" s="1"/>
  <c r="AE14" i="5"/>
  <c r="AF14" i="5" s="1"/>
  <c r="AE15" i="5"/>
  <c r="AF15" i="5" s="1"/>
  <c r="AE16" i="5"/>
  <c r="AF16" i="5" s="1"/>
  <c r="AE17" i="5"/>
  <c r="AF17" i="5" s="1"/>
  <c r="AE18" i="5"/>
  <c r="AF18" i="5" s="1"/>
  <c r="AE19" i="5"/>
  <c r="AF19" i="5" s="1"/>
  <c r="AE20" i="5"/>
  <c r="AF20" i="5" s="1"/>
  <c r="AE21" i="5"/>
  <c r="AF21" i="5" s="1"/>
  <c r="AE22" i="5"/>
  <c r="AF22" i="5" s="1"/>
  <c r="AE23" i="5"/>
  <c r="AF23" i="5" s="1"/>
  <c r="AI24" i="5"/>
  <c r="AB28" i="5" s="1"/>
  <c r="E29" i="1" s="1"/>
  <c r="AF24" i="5" l="1"/>
  <c r="AB26" i="5" s="1"/>
  <c r="X29" i="6"/>
  <c r="S30" i="6"/>
  <c r="AB27" i="5" l="1"/>
  <c r="AB29" i="5" s="1"/>
  <c r="E34" i="1" s="1"/>
  <c r="E19" i="1"/>
  <c r="E24" i="1"/>
  <c r="S31" i="6"/>
  <c r="X30" i="6"/>
  <c r="S32" i="6" l="1"/>
  <c r="X31" i="6"/>
  <c r="S33" i="6" l="1"/>
  <c r="X32" i="6"/>
  <c r="X33" i="6" l="1"/>
  <c r="S34" i="6"/>
  <c r="X34" i="6" l="1"/>
  <c r="S35" i="6"/>
  <c r="X35" i="6" l="1"/>
  <c r="S36" i="6"/>
  <c r="X36" i="6" s="1"/>
  <c r="S37" i="6" l="1"/>
  <c r="X37" i="6" s="1"/>
  <c r="S38" i="6" l="1"/>
  <c r="X38" i="6" s="1"/>
  <c r="S39" i="6" l="1"/>
  <c r="X39" i="6" s="1"/>
  <c r="S40" i="6" l="1"/>
  <c r="X40" i="6" s="1"/>
  <c r="S41" i="6" l="1"/>
  <c r="X41" i="6" s="1"/>
  <c r="S42" i="6" l="1"/>
  <c r="X42" i="6" s="1"/>
  <c r="S43" i="6" l="1"/>
  <c r="X43" i="6" s="1"/>
  <c r="S44" i="6" l="1"/>
  <c r="X44" i="6" s="1"/>
  <c r="S45" i="6" l="1"/>
  <c r="X45" i="6" s="1"/>
  <c r="S46" i="6" l="1"/>
  <c r="X46" i="6" s="1"/>
  <c r="S47" i="6" l="1"/>
  <c r="S48" i="6" l="1"/>
  <c r="X47" i="6"/>
  <c r="X48" i="6" l="1"/>
  <c r="S49" i="6"/>
  <c r="X49" i="6" l="1"/>
  <c r="S50" i="6"/>
  <c r="X50" i="6" l="1"/>
  <c r="S51" i="6"/>
  <c r="X51" i="6" l="1"/>
  <c r="S52" i="6"/>
  <c r="X52" i="6" l="1"/>
  <c r="S53" i="6"/>
  <c r="S54" i="6" l="1"/>
  <c r="X53" i="6"/>
  <c r="X54" i="6" l="1"/>
  <c r="S55" i="6"/>
  <c r="X55" i="6" l="1"/>
  <c r="S56" i="6"/>
  <c r="X56" i="6" l="1"/>
  <c r="S57" i="6"/>
  <c r="X57" i="6" l="1"/>
  <c r="S58" i="6"/>
  <c r="S59" i="6" l="1"/>
  <c r="X58" i="6"/>
  <c r="S60" i="6" l="1"/>
  <c r="X59" i="6"/>
  <c r="S61" i="6" l="1"/>
  <c r="X60" i="6"/>
  <c r="X61" i="6" l="1"/>
  <c r="S63" i="6"/>
  <c r="S62" i="6"/>
  <c r="X62" i="6" s="1"/>
  <c r="X63" i="6" l="1"/>
  <c r="X64" i="6" s="1"/>
  <c r="S64" i="6"/>
  <c r="T63" i="6" s="1"/>
  <c r="U63" i="6" s="1"/>
  <c r="T62" i="6" l="1"/>
  <c r="U62" i="6" s="1"/>
  <c r="T7" i="6"/>
  <c r="U7" i="6" s="1"/>
  <c r="T33" i="6"/>
  <c r="U33" i="6" s="1"/>
  <c r="T35" i="6"/>
  <c r="U35" i="6" s="1"/>
  <c r="T36" i="6"/>
  <c r="U36" i="6" s="1"/>
  <c r="T14" i="6"/>
  <c r="U14" i="6" s="1"/>
  <c r="T37" i="6"/>
  <c r="U37" i="6" s="1"/>
  <c r="T20" i="6"/>
  <c r="U20" i="6" s="1"/>
  <c r="T39" i="6"/>
  <c r="U39" i="6" s="1"/>
  <c r="T26" i="6"/>
  <c r="U26" i="6" s="1"/>
  <c r="T41" i="6"/>
  <c r="U41" i="6" s="1"/>
  <c r="T42" i="6"/>
  <c r="U42" i="6" s="1"/>
  <c r="T28" i="6"/>
  <c r="U28" i="6" s="1"/>
  <c r="T44" i="6"/>
  <c r="U44" i="6" s="1"/>
  <c r="T21" i="6"/>
  <c r="U21" i="6" s="1"/>
  <c r="T4" i="6"/>
  <c r="U4" i="6" s="1"/>
  <c r="T34" i="6"/>
  <c r="U34" i="6" s="1"/>
  <c r="T6" i="6"/>
  <c r="U6" i="6" s="1"/>
  <c r="T24" i="6"/>
  <c r="U24" i="6" s="1"/>
  <c r="T16" i="6"/>
  <c r="U16" i="6" s="1"/>
  <c r="T8" i="6"/>
  <c r="U8" i="6" s="1"/>
  <c r="T23" i="6"/>
  <c r="U23" i="6" s="1"/>
  <c r="T29" i="6"/>
  <c r="U29" i="6" s="1"/>
  <c r="T15" i="6"/>
  <c r="U15" i="6" s="1"/>
  <c r="T18" i="6"/>
  <c r="U18" i="6" s="1"/>
  <c r="T46" i="6"/>
  <c r="U46" i="6" s="1"/>
  <c r="T47" i="6"/>
  <c r="U47" i="6" s="1"/>
  <c r="T32" i="6"/>
  <c r="U32" i="6" s="1"/>
  <c r="T13" i="6"/>
  <c r="U13" i="6" s="1"/>
  <c r="T38" i="6"/>
  <c r="U38" i="6" s="1"/>
  <c r="T30" i="6"/>
  <c r="U30" i="6" s="1"/>
  <c r="T40" i="6"/>
  <c r="U40" i="6" s="1"/>
  <c r="T9" i="6"/>
  <c r="U9" i="6" s="1"/>
  <c r="T43" i="6"/>
  <c r="U43" i="6" s="1"/>
  <c r="T19" i="6"/>
  <c r="U19" i="6" s="1"/>
  <c r="T45" i="6"/>
  <c r="U45" i="6" s="1"/>
  <c r="T17" i="6"/>
  <c r="U17" i="6" s="1"/>
  <c r="T25" i="6"/>
  <c r="U25" i="6" s="1"/>
  <c r="T27" i="6"/>
  <c r="U27" i="6" s="1"/>
  <c r="T5" i="6"/>
  <c r="U5" i="6" s="1"/>
  <c r="T11" i="6"/>
  <c r="U11" i="6" s="1"/>
  <c r="T31" i="6"/>
  <c r="U31" i="6" s="1"/>
  <c r="T22" i="6"/>
  <c r="U22" i="6" s="1"/>
  <c r="T10" i="6"/>
  <c r="U10" i="6" s="1"/>
  <c r="T12" i="6"/>
  <c r="U12" i="6" s="1"/>
  <c r="T48" i="6"/>
  <c r="U48" i="6" s="1"/>
  <c r="T49" i="6"/>
  <c r="U49" i="6" s="1"/>
  <c r="T50" i="6"/>
  <c r="U50" i="6" s="1"/>
  <c r="T51" i="6"/>
  <c r="U51" i="6" s="1"/>
  <c r="T52" i="6"/>
  <c r="U52" i="6" s="1"/>
  <c r="T53" i="6"/>
  <c r="U53" i="6" s="1"/>
  <c r="T54" i="6"/>
  <c r="U54" i="6" s="1"/>
  <c r="T55" i="6"/>
  <c r="U55" i="6" s="1"/>
  <c r="T56" i="6"/>
  <c r="U56" i="6" s="1"/>
  <c r="T57" i="6"/>
  <c r="U57" i="6" s="1"/>
  <c r="T58" i="6"/>
  <c r="U58" i="6" s="1"/>
  <c r="T59" i="6"/>
  <c r="U59" i="6" s="1"/>
  <c r="T60" i="6"/>
  <c r="U60" i="6" s="1"/>
  <c r="T61" i="6"/>
  <c r="U61" i="6" s="1"/>
  <c r="Q68" i="6"/>
  <c r="U64" i="6" l="1"/>
  <c r="Q66" i="6" l="1"/>
  <c r="Q67" i="6" s="1"/>
  <c r="H12" i="5" l="1"/>
  <c r="H13" i="5"/>
  <c r="H24" i="5" l="1"/>
  <c r="K13" i="5"/>
  <c r="M13" i="5"/>
  <c r="K12" i="5"/>
  <c r="M12" i="5"/>
  <c r="I13" i="5"/>
  <c r="J13" i="5" s="1"/>
  <c r="I12" i="5"/>
  <c r="J12" i="5" s="1"/>
  <c r="I21" i="5"/>
  <c r="J21" i="5" s="1"/>
  <c r="I10" i="5"/>
  <c r="J10" i="5" s="1"/>
  <c r="I23" i="5"/>
  <c r="J23" i="5" s="1"/>
  <c r="I20" i="5"/>
  <c r="J20" i="5" s="1"/>
  <c r="I15" i="5"/>
  <c r="J15" i="5" s="1"/>
  <c r="I8" i="5"/>
  <c r="J8" i="5" s="1"/>
  <c r="I7" i="5"/>
  <c r="J7" i="5" s="1"/>
  <c r="I5" i="5"/>
  <c r="J5" i="5" s="1"/>
  <c r="I4" i="5"/>
  <c r="J4" i="5" s="1"/>
  <c r="I17" i="5"/>
  <c r="J17" i="5" s="1"/>
  <c r="I11" i="5"/>
  <c r="J11" i="5" s="1"/>
  <c r="I6" i="5"/>
  <c r="J6" i="5" s="1"/>
  <c r="I18" i="5"/>
  <c r="J18" i="5" s="1"/>
  <c r="I9" i="5"/>
  <c r="J9" i="5" s="1"/>
  <c r="I22" i="5"/>
  <c r="J22" i="5" s="1"/>
  <c r="I19" i="5" l="1"/>
  <c r="J19" i="5" s="1"/>
  <c r="I14" i="5"/>
  <c r="J14" i="5" s="1"/>
  <c r="I16" i="5"/>
  <c r="J16" i="5" s="1"/>
  <c r="U12" i="5"/>
  <c r="U17" i="5"/>
  <c r="U10" i="5"/>
  <c r="U7" i="5"/>
  <c r="U23" i="5"/>
  <c r="U21" i="5"/>
  <c r="U15" i="5"/>
  <c r="U13" i="5"/>
  <c r="U20" i="5"/>
  <c r="U14" i="5"/>
  <c r="U11" i="5"/>
  <c r="U5" i="5"/>
  <c r="U9" i="5"/>
  <c r="U16" i="5"/>
  <c r="U4" i="5"/>
  <c r="U22" i="5"/>
  <c r="U19" i="5"/>
  <c r="U8" i="5"/>
  <c r="U18" i="5"/>
  <c r="U6" i="5"/>
  <c r="M24" i="5"/>
  <c r="F28" i="5" s="1"/>
  <c r="C29" i="1" s="1"/>
  <c r="L20" i="5"/>
  <c r="J24" i="5"/>
  <c r="F26" i="5" s="1"/>
  <c r="C19" i="1" l="1"/>
  <c r="F27" i="5"/>
  <c r="U24" i="5"/>
  <c r="Q26" i="5" s="1"/>
  <c r="Q27" i="5" l="1"/>
  <c r="D19" i="1"/>
  <c r="C24" i="1"/>
  <c r="F29" i="5"/>
  <c r="C34" i="1" s="1"/>
  <c r="D24" i="1" l="1"/>
  <c r="Q29" i="5"/>
  <c r="D34" i="1" s="1"/>
</calcChain>
</file>

<file path=xl/sharedStrings.xml><?xml version="1.0" encoding="utf-8"?>
<sst xmlns="http://schemas.openxmlformats.org/spreadsheetml/2006/main" count="249" uniqueCount="50">
  <si>
    <t>Price</t>
  </si>
  <si>
    <t xml:space="preserve">Yield </t>
  </si>
  <si>
    <t>Coupon</t>
  </si>
  <si>
    <t>Settlement Date</t>
  </si>
  <si>
    <t>Issue Date</t>
  </si>
  <si>
    <t>Maturity Date</t>
  </si>
  <si>
    <t>10-Year Bond</t>
  </si>
  <si>
    <t>30-Year Bond</t>
  </si>
  <si>
    <t>Face Value</t>
  </si>
  <si>
    <t>Coupon Rate</t>
  </si>
  <si>
    <t>Period</t>
  </si>
  <si>
    <t>Cash Flow</t>
  </si>
  <si>
    <t>PV of CF</t>
  </si>
  <si>
    <t>TW PV of CF</t>
  </si>
  <si>
    <t>TW^2 PV of CF</t>
  </si>
  <si>
    <t>Last Coupon Payment Date</t>
  </si>
  <si>
    <t>Next Coupon Payment Date</t>
  </si>
  <si>
    <t>Coupon Payment Date</t>
  </si>
  <si>
    <t>Macaulay Duration</t>
  </si>
  <si>
    <t>Modified Duration</t>
  </si>
  <si>
    <t>Convexity</t>
  </si>
  <si>
    <t>Semi-Annually Yield</t>
  </si>
  <si>
    <t>PV as % of Sum of PV</t>
  </si>
  <si>
    <t>Yield</t>
  </si>
  <si>
    <t>Duration Implied Price</t>
  </si>
  <si>
    <t>Convexity Implied Price</t>
  </si>
  <si>
    <t>Semi-Annually Coupon</t>
  </si>
  <si>
    <t>Scenario Rate</t>
  </si>
  <si>
    <t>Reivestment as per theory</t>
  </si>
  <si>
    <t>PV as % of CF</t>
  </si>
  <si>
    <t>Parallel Up</t>
  </si>
  <si>
    <t>Parallel Down</t>
  </si>
  <si>
    <t>Base</t>
  </si>
  <si>
    <t>Bond</t>
  </si>
  <si>
    <t>10 Year Gilt</t>
  </si>
  <si>
    <t>30 Year Gilt</t>
  </si>
  <si>
    <t>GBP01</t>
  </si>
  <si>
    <t>Change in BPs</t>
  </si>
  <si>
    <t>New Yield</t>
  </si>
  <si>
    <t>Price (Full reval)</t>
  </si>
  <si>
    <t>PnL DV01+Conv</t>
  </si>
  <si>
    <t>PnL DV01</t>
  </si>
  <si>
    <t>PnL Full</t>
  </si>
  <si>
    <t>Error (GBP01)</t>
  </si>
  <si>
    <t>Error (GBP01+Conv)</t>
  </si>
  <si>
    <t>Change in BPs in Percentage</t>
  </si>
  <si>
    <t>Bond Maturity (Years)</t>
  </si>
  <si>
    <t>Measuring and Communicating Interest Rate Risk : DV01 &amp; Convexity in UK Bond Markets</t>
  </si>
  <si>
    <t>Ayan Biswas</t>
  </si>
  <si>
    <t>Presented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</si>
</sst>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0.0000"/>
    <numFmt numFmtId="165" formatCode="0.0000%"/>
    <numFmt numFmtId="166" formatCode="_-[$£-809]* #,##0.00_-;\-[$£-809]* #,##0.00_-;_-[$£-809]* &quot;-&quot;??_-;_-@_-"/>
    <numFmt numFmtId="167" formatCode="[$£-809]#,##0.00"/>
    <numFmt numFmtId="168" formatCode="[$£-809]#,##0.0000"/>
    <numFmt numFmtId="169" formatCode="_-[$£-809]* #,##0.00_-;[Red]\-[$£-809]* #,##0.00_-;_-[$£-809]* &quot;-&quot;??_-;_-@_-"/>
  </numFmts>
  <fonts count="9" x14ac:knownFonts="1">
    <font>
      <sz val="11"/>
      <color theme="1"/>
      <name val="Calisto MT"/>
      <family val="2"/>
      <scheme val="minor"/>
    </font>
    <font>
      <sz val="11"/>
      <color theme="1"/>
      <name val="Calisto MT"/>
      <family val="2"/>
      <scheme val="minor"/>
    </font>
    <font>
      <b/>
      <sz val="11"/>
      <color theme="1"/>
      <name val="Calisto MT"/>
      <family val="2"/>
      <scheme val="minor"/>
    </font>
    <font>
      <b/>
      <sz val="11"/>
      <name val="Calisto MT"/>
      <family val="2"/>
      <scheme val="minor"/>
    </font>
    <font>
      <b/>
      <sz val="11"/>
      <color rgb="FF002060"/>
      <name val="Calisto MT"/>
      <family val="2"/>
      <scheme val="minor"/>
    </font>
    <font>
      <b/>
      <sz val="22"/>
      <color theme="1"/>
      <name val="Calisto MT"/>
      <family val="2"/>
      <scheme val="minor"/>
    </font>
    <font>
      <b/>
      <sz val="18"/>
      <color theme="1"/>
      <name val="Calisto MT"/>
      <family val="1"/>
      <scheme val="minor"/>
    </font>
    <font>
      <b/>
      <sz val="12"/>
      <color theme="1"/>
      <name val="Calisto MT"/>
      <family val="2"/>
      <scheme val="minor"/>
    </font>
    <font>
      <sz val="12"/>
      <color theme="1"/>
      <name val="Calisto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14" fontId="0" fillId="0" borderId="0" xfId="0" applyNumberFormat="1"/>
    <xf numFmtId="0" fontId="0" fillId="4" borderId="0" xfId="0" applyFill="1"/>
    <xf numFmtId="0" fontId="0" fillId="2" borderId="0" xfId="0" applyFill="1"/>
    <xf numFmtId="10" fontId="0" fillId="0" borderId="0" xfId="2" applyNumberFormat="1" applyFont="1"/>
    <xf numFmtId="10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 vertical="center"/>
    </xf>
    <xf numFmtId="0" fontId="0" fillId="2" borderId="2" xfId="0" applyFill="1" applyBorder="1"/>
    <xf numFmtId="165" fontId="0" fillId="2" borderId="2" xfId="0" applyNumberFormat="1" applyFill="1" applyBorder="1"/>
    <xf numFmtId="10" fontId="0" fillId="2" borderId="2" xfId="0" applyNumberFormat="1" applyFill="1" applyBorder="1"/>
    <xf numFmtId="14" fontId="0" fillId="2" borderId="2" xfId="0" applyNumberFormat="1" applyFill="1" applyBorder="1"/>
    <xf numFmtId="14" fontId="0" fillId="5" borderId="2" xfId="0" applyNumberFormat="1" applyFill="1" applyBorder="1"/>
    <xf numFmtId="0" fontId="0" fillId="5" borderId="2" xfId="0" applyFill="1" applyBorder="1"/>
    <xf numFmtId="1" fontId="0" fillId="2" borderId="2" xfId="0" applyNumberFormat="1" applyFill="1" applyBorder="1"/>
    <xf numFmtId="14" fontId="0" fillId="2" borderId="7" xfId="0" applyNumberForma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6" xfId="0" applyFill="1" applyBorder="1"/>
    <xf numFmtId="0" fontId="0" fillId="2" borderId="7" xfId="0" applyFill="1" applyBorder="1"/>
    <xf numFmtId="166" fontId="0" fillId="2" borderId="2" xfId="0" applyNumberFormat="1" applyFill="1" applyBorder="1"/>
    <xf numFmtId="166" fontId="0" fillId="3" borderId="1" xfId="0" applyNumberFormat="1" applyFill="1" applyBorder="1"/>
    <xf numFmtId="167" fontId="0" fillId="2" borderId="2" xfId="0" applyNumberFormat="1" applyFill="1" applyBorder="1"/>
    <xf numFmtId="167" fontId="0" fillId="3" borderId="1" xfId="0" applyNumberFormat="1" applyFill="1" applyBorder="1"/>
    <xf numFmtId="0" fontId="2" fillId="3" borderId="6" xfId="0" applyFont="1" applyFill="1" applyBorder="1"/>
    <xf numFmtId="10" fontId="0" fillId="2" borderId="2" xfId="2" applyNumberFormat="1" applyFont="1" applyFill="1" applyBorder="1"/>
    <xf numFmtId="10" fontId="0" fillId="2" borderId="7" xfId="2" applyNumberFormat="1" applyFont="1" applyFill="1" applyBorder="1"/>
    <xf numFmtId="166" fontId="0" fillId="2" borderId="7" xfId="0" applyNumberFormat="1" applyFill="1" applyBorder="1"/>
    <xf numFmtId="164" fontId="0" fillId="2" borderId="2" xfId="0" applyNumberFormat="1" applyFill="1" applyBorder="1"/>
    <xf numFmtId="164" fontId="0" fillId="3" borderId="1" xfId="0" applyNumberFormat="1" applyFill="1" applyBorder="1"/>
    <xf numFmtId="164" fontId="0" fillId="2" borderId="6" xfId="0" applyNumberFormat="1" applyFill="1" applyBorder="1"/>
    <xf numFmtId="164" fontId="0" fillId="2" borderId="7" xfId="0" applyNumberForma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7" xfId="0" applyFont="1" applyFill="1" applyBorder="1"/>
    <xf numFmtId="165" fontId="0" fillId="2" borderId="2" xfId="2" applyNumberFormat="1" applyFont="1" applyFill="1" applyBorder="1"/>
    <xf numFmtId="14" fontId="0" fillId="3" borderId="1" xfId="0" applyNumberFormat="1" applyFill="1" applyBorder="1"/>
    <xf numFmtId="167" fontId="0" fillId="0" borderId="0" xfId="0" applyNumberFormat="1"/>
    <xf numFmtId="168" fontId="0" fillId="0" borderId="0" xfId="0" applyNumberFormat="1"/>
    <xf numFmtId="10" fontId="0" fillId="2" borderId="6" xfId="0" applyNumberFormat="1" applyFill="1" applyBorder="1"/>
    <xf numFmtId="10" fontId="0" fillId="2" borderId="7" xfId="0" applyNumberFormat="1" applyFill="1" applyBorder="1"/>
    <xf numFmtId="167" fontId="0" fillId="2" borderId="7" xfId="0" applyNumberFormat="1" applyFill="1" applyBorder="1"/>
    <xf numFmtId="0" fontId="3" fillId="3" borderId="1" xfId="0" applyFont="1" applyFill="1" applyBorder="1"/>
    <xf numFmtId="0" fontId="0" fillId="4" borderId="2" xfId="0" applyFill="1" applyBorder="1"/>
    <xf numFmtId="165" fontId="0" fillId="4" borderId="2" xfId="2" applyNumberFormat="1" applyFont="1" applyFill="1" applyBorder="1"/>
    <xf numFmtId="164" fontId="0" fillId="4" borderId="2" xfId="0" applyNumberFormat="1" applyFill="1" applyBorder="1"/>
    <xf numFmtId="10" fontId="0" fillId="4" borderId="2" xfId="2" applyNumberFormat="1" applyFont="1" applyFill="1" applyBorder="1"/>
    <xf numFmtId="164" fontId="2" fillId="2" borderId="2" xfId="0" applyNumberFormat="1" applyFont="1" applyFill="1" applyBorder="1"/>
    <xf numFmtId="10" fontId="0" fillId="3" borderId="1" xfId="0" applyNumberFormat="1" applyFill="1" applyBorder="1"/>
    <xf numFmtId="167" fontId="0" fillId="4" borderId="2" xfId="0" applyNumberFormat="1" applyFill="1" applyBorder="1"/>
    <xf numFmtId="165" fontId="0" fillId="4" borderId="2" xfId="0" applyNumberFormat="1" applyFill="1" applyBorder="1"/>
    <xf numFmtId="166" fontId="0" fillId="2" borderId="2" xfId="1" applyNumberFormat="1" applyFont="1" applyFill="1" applyBorder="1"/>
    <xf numFmtId="166" fontId="0" fillId="2" borderId="6" xfId="0" applyNumberFormat="1" applyFill="1" applyBorder="1"/>
    <xf numFmtId="166" fontId="0" fillId="4" borderId="2" xfId="0" applyNumberFormat="1" applyFill="1" applyBorder="1"/>
    <xf numFmtId="166" fontId="0" fillId="0" borderId="0" xfId="0" applyNumberFormat="1"/>
    <xf numFmtId="10" fontId="0" fillId="2" borderId="6" xfId="2" applyNumberFormat="1" applyFont="1" applyFill="1" applyBorder="1"/>
    <xf numFmtId="165" fontId="0" fillId="2" borderId="6" xfId="0" applyNumberFormat="1" applyFill="1" applyBorder="1"/>
    <xf numFmtId="165" fontId="0" fillId="2" borderId="7" xfId="0" applyNumberFormat="1" applyFill="1" applyBorder="1"/>
    <xf numFmtId="166" fontId="0" fillId="2" borderId="6" xfId="2" applyNumberFormat="1" applyFont="1" applyFill="1" applyBorder="1"/>
    <xf numFmtId="166" fontId="0" fillId="2" borderId="2" xfId="2" applyNumberFormat="1" applyFont="1" applyFill="1" applyBorder="1"/>
    <xf numFmtId="166" fontId="0" fillId="2" borderId="7" xfId="2" applyNumberFormat="1" applyFont="1" applyFill="1" applyBorder="1"/>
    <xf numFmtId="166" fontId="0" fillId="4" borderId="2" xfId="2" applyNumberFormat="1" applyFont="1" applyFill="1" applyBorder="1"/>
    <xf numFmtId="169" fontId="0" fillId="2" borderId="6" xfId="2" applyNumberFormat="1" applyFont="1" applyFill="1" applyBorder="1"/>
    <xf numFmtId="169" fontId="0" fillId="2" borderId="2" xfId="2" applyNumberFormat="1" applyFont="1" applyFill="1" applyBorder="1"/>
    <xf numFmtId="169" fontId="0" fillId="2" borderId="7" xfId="2" applyNumberFormat="1" applyFont="1" applyFill="1" applyBorder="1"/>
    <xf numFmtId="169" fontId="0" fillId="4" borderId="2" xfId="2" applyNumberFormat="1" applyFont="1" applyFill="1" applyBorder="1"/>
    <xf numFmtId="0" fontId="6" fillId="3" borderId="8" xfId="0" applyFont="1" applyFill="1" applyBorder="1"/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0" fillId="3" borderId="9" xfId="0" applyFill="1" applyBorder="1"/>
    <xf numFmtId="0" fontId="5" fillId="6" borderId="10" xfId="0" applyFont="1" applyFill="1" applyBorder="1" applyAlignment="1">
      <alignment horizontal="center"/>
    </xf>
    <xf numFmtId="0" fontId="5" fillId="3" borderId="11" xfId="0" applyFont="1" applyFill="1" applyBorder="1" applyAlignment="1"/>
    <xf numFmtId="0" fontId="0" fillId="3" borderId="12" xfId="0" applyFill="1" applyBorder="1"/>
    <xf numFmtId="0" fontId="0" fillId="3" borderId="0" xfId="0" applyFill="1" applyBorder="1"/>
    <xf numFmtId="0" fontId="0" fillId="3" borderId="13" xfId="0" applyFill="1" applyBorder="1"/>
    <xf numFmtId="0" fontId="7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10" fontId="8" fillId="3" borderId="0" xfId="0" applyNumberFormat="1" applyFont="1" applyFill="1" applyBorder="1" applyAlignment="1">
      <alignment horizontal="center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Methodology Difference - 10 Year Gilt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'GBP01 &amp; Convexity'!$U$3</c:f>
              <c:strCache>
                <c:ptCount val="1"/>
                <c:pt idx="0">
                  <c:v>PnL Full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'GBP01 &amp; Convexity'!$T$4:$T$12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Convexity'!$U$4:$U$12</c:f>
              <c:numCache>
                <c:formatCode>_-[$£-809]* #,##0.00_-;\-[$£-809]* #,##0.00_-;_-[$£-809]* "-"??_-;_-@_-</c:formatCode>
                <c:ptCount val="9"/>
                <c:pt idx="0">
                  <c:v>16.772941110169924</c:v>
                </c:pt>
                <c:pt idx="1">
                  <c:v>12.285733637198021</c:v>
                </c:pt>
                <c:pt idx="2">
                  <c:v>8.0010007358599182</c:v>
                </c:pt>
                <c:pt idx="3">
                  <c:v>3.9088755062860514</c:v>
                </c:pt>
                <c:pt idx="4">
                  <c:v>0</c:v>
                </c:pt>
                <c:pt idx="5">
                  <c:v>-3.7345023385540514</c:v>
                </c:pt>
                <c:pt idx="6">
                  <c:v>-7.3030526712571344</c:v>
                </c:pt>
                <c:pt idx="7">
                  <c:v>-10.713641298227927</c:v>
                </c:pt>
                <c:pt idx="8">
                  <c:v>-13.973850808669042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2-40CD-86A4-29B53D021715}"/>
            </c:ext>
          </c:extLst>
        </c:ser>
        <c:ser>
          <c:idx val="1"/>
          <c:order val="1"/>
          <c:tx>
            <c:strRef>
              <c:f>'GBP01 &amp; Convexity'!$V$3</c:f>
              <c:strCache>
                <c:ptCount val="1"/>
                <c:pt idx="0">
                  <c:v>PnL DV01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'GBP01 &amp; Convexity'!$T$4:$T$12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Convexity'!$V$4:$V$12</c:f>
              <c:numCache>
                <c:formatCode>_-[$£-809]* #,##0.00_-;\-[$£-809]* #,##0.00_-;_-[$£-809]* "-"??_-;_-@_-</c:formatCode>
                <c:ptCount val="9"/>
                <c:pt idx="0">
                  <c:v>31.146277660128785</c:v>
                </c:pt>
                <c:pt idx="1">
                  <c:v>23.359708245096588</c:v>
                </c:pt>
                <c:pt idx="2">
                  <c:v>15.573138830064392</c:v>
                </c:pt>
                <c:pt idx="3">
                  <c:v>7.7865694150321962</c:v>
                </c:pt>
                <c:pt idx="4">
                  <c:v>0</c:v>
                </c:pt>
                <c:pt idx="5">
                  <c:v>-7.7865694150321962</c:v>
                </c:pt>
                <c:pt idx="6">
                  <c:v>-15.573138830064392</c:v>
                </c:pt>
                <c:pt idx="7">
                  <c:v>-23.359708245096588</c:v>
                </c:pt>
                <c:pt idx="8">
                  <c:v>-31.146277660128785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2-40CD-86A4-29B53D021715}"/>
            </c:ext>
          </c:extLst>
        </c:ser>
        <c:ser>
          <c:idx val="2"/>
          <c:order val="2"/>
          <c:tx>
            <c:strRef>
              <c:f>'GBP01 &amp; Convexity'!$W$3</c:f>
              <c:strCache>
                <c:ptCount val="1"/>
                <c:pt idx="0">
                  <c:v>PnL DV01+Conv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'GBP01 &amp; Convexity'!$T$4:$T$12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Convexity'!$W$4:$W$12</c:f>
              <c:numCache>
                <c:formatCode>_-[$£-809]* #,##0.00_-;\-[$£-809]* #,##0.00_-;_-[$£-809]* "-"??_-;_-@_-</c:formatCode>
                <c:ptCount val="9"/>
                <c:pt idx="0">
                  <c:v>37.506110312971686</c:v>
                </c:pt>
                <c:pt idx="1">
                  <c:v>26.937675157618418</c:v>
                </c:pt>
                <c:pt idx="2">
                  <c:v>17.163845053672055</c:v>
                </c:pt>
                <c:pt idx="3">
                  <c:v>8.1846200011325809</c:v>
                </c:pt>
                <c:pt idx="4">
                  <c:v>0</c:v>
                </c:pt>
                <c:pt idx="5">
                  <c:v>-7.3900149497256873</c:v>
                </c:pt>
                <c:pt idx="6">
                  <c:v>-13.985424848044481</c:v>
                </c:pt>
                <c:pt idx="7">
                  <c:v>-19.786229694956379</c:v>
                </c:pt>
                <c:pt idx="8">
                  <c:v>-24.792429490461391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2-40CD-86A4-29B53D021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794303"/>
        <c:axId val="1960795263"/>
      </c:barChart>
      <c:catAx>
        <c:axId val="196079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95263"/>
        <c:crosses val="autoZero"/>
        <c:auto val="1"/>
        <c:lblAlgn val="ctr"/>
        <c:lblOffset val="100"/>
        <c:noMultiLvlLbl val="0"/>
      </c:catAx>
      <c:valAx>
        <c:axId val="1960795263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Methodology Difference - 30 Year Gilt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'GBP01 &amp; Convexity'!$U$16</c:f>
              <c:strCache>
                <c:ptCount val="1"/>
                <c:pt idx="0">
                  <c:v>PnL Full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'GBP01 &amp; Convexity'!$T$17:$T$25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Convexity'!$U$17:$U$25</c:f>
              <c:numCache>
                <c:formatCode>_-[$£-809]* #,##0.00_-;\-[$£-809]* #,##0.00_-;_-[$£-809]* "-"??_-;_-@_-</c:formatCode>
                <c:ptCount val="9"/>
                <c:pt idx="0">
                  <c:v>33.778840864860626</c:v>
                </c:pt>
                <c:pt idx="1">
                  <c:v>23.807747265794134</c:v>
                </c:pt>
                <c:pt idx="2">
                  <c:v>14.942023046727826</c:v>
                </c:pt>
                <c:pt idx="3">
                  <c:v>7.0455751470038166</c:v>
                </c:pt>
                <c:pt idx="4">
                  <c:v>0</c:v>
                </c:pt>
                <c:pt idx="5">
                  <c:v>-6.2977975468623981</c:v>
                </c:pt>
                <c:pt idx="6">
                  <c:v>-11.937656360421869</c:v>
                </c:pt>
                <c:pt idx="7">
                  <c:v>-16.997928620955449</c:v>
                </c:pt>
                <c:pt idx="8">
                  <c:v>-21.547006641351061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D-433F-9481-88323AF565FE}"/>
            </c:ext>
          </c:extLst>
        </c:ser>
        <c:ser>
          <c:idx val="1"/>
          <c:order val="1"/>
          <c:tx>
            <c:strRef>
              <c:f>'GBP01 &amp; Convexity'!$V$16</c:f>
              <c:strCache>
                <c:ptCount val="1"/>
                <c:pt idx="0">
                  <c:v>PnL DV01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'GBP01 &amp; Convexity'!$T$17:$T$25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Convexity'!$V$17:$V$25</c:f>
              <c:numCache>
                <c:formatCode>_-[$£-809]* #,##0.00_-;\-[$£-809]* #,##0.00_-;_-[$£-809]* "-"??_-;_-@_-</c:formatCode>
                <c:ptCount val="9"/>
                <c:pt idx="0">
                  <c:v>52.523234137535987</c:v>
                </c:pt>
                <c:pt idx="1">
                  <c:v>39.392425603151999</c:v>
                </c:pt>
                <c:pt idx="2">
                  <c:v>26.261617068767993</c:v>
                </c:pt>
                <c:pt idx="3">
                  <c:v>13.130808534383997</c:v>
                </c:pt>
                <c:pt idx="4">
                  <c:v>0</c:v>
                </c:pt>
                <c:pt idx="5">
                  <c:v>-13.130808534383997</c:v>
                </c:pt>
                <c:pt idx="6">
                  <c:v>-26.261617068767993</c:v>
                </c:pt>
                <c:pt idx="7">
                  <c:v>-39.392425603151999</c:v>
                </c:pt>
                <c:pt idx="8">
                  <c:v>-52.523234137535987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D-433F-9481-88323AF565FE}"/>
            </c:ext>
          </c:extLst>
        </c:ser>
        <c:ser>
          <c:idx val="2"/>
          <c:order val="2"/>
          <c:tx>
            <c:strRef>
              <c:f>'GBP01 &amp; Convexity'!$W$16</c:f>
              <c:strCache>
                <c:ptCount val="1"/>
                <c:pt idx="0">
                  <c:v>PnL DV01+Conv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'GBP01 &amp; Convexity'!$T$17:$T$25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Convexity'!$W$17:$W$25</c:f>
              <c:numCache>
                <c:formatCode>_-[$£-809]* #,##0.00_-;\-[$£-809]* #,##0.00_-;_-[$£-809]* "-"??_-;_-@_-</c:formatCode>
                <c:ptCount val="9"/>
                <c:pt idx="0">
                  <c:v>78.767933876923365</c:v>
                </c:pt>
                <c:pt idx="1">
                  <c:v>54.176858650849354</c:v>
                </c:pt>
                <c:pt idx="2">
                  <c:v>32.851844596004135</c:v>
                </c:pt>
                <c:pt idx="3">
                  <c:v>14.79289171238768</c:v>
                </c:pt>
                <c:pt idx="4">
                  <c:v>0</c:v>
                </c:pt>
                <c:pt idx="5">
                  <c:v>-11.526830541158906</c:v>
                </c:pt>
                <c:pt idx="6">
                  <c:v>-19.787599911089039</c:v>
                </c:pt>
                <c:pt idx="7">
                  <c:v>-24.782308109790403</c:v>
                </c:pt>
                <c:pt idx="8">
                  <c:v>-26.510955137262989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ED-433F-9481-88323AF56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29359"/>
        <c:axId val="21932719"/>
      </c:barChart>
      <c:catAx>
        <c:axId val="2192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2719"/>
        <c:crosses val="autoZero"/>
        <c:auto val="1"/>
        <c:lblAlgn val="ctr"/>
        <c:lblOffset val="100"/>
        <c:noMultiLvlLbl val="0"/>
      </c:catAx>
      <c:valAx>
        <c:axId val="21932719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095553714895596"/>
                      <c:h val="0.15141745798251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A00-461A-91E9-C9A20A04EEA0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095553714895596"/>
                      <c:h val="0.15141745798251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A00-461A-91E9-C9A20A04EE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'GBP01 &amp; Convexity'!$B$24:$B$25</c:f>
              <c:strCache>
                <c:ptCount val="2"/>
                <c:pt idx="0">
                  <c:v>10 Year Gilt</c:v>
                </c:pt>
                <c:pt idx="1">
                  <c:v>30 Year Gilt</c:v>
                </c:pt>
              </c:strCache>
            </c:strRef>
          </c:cat>
          <c:val>
            <c:numRef>
              <c:f>'GBP01 &amp; Convexity'!$C$24:$C$25</c:f>
              <c:numCache>
                <c:formatCode>0.0000</c:formatCode>
                <c:ptCount val="2"/>
                <c:pt idx="0">
                  <c:v>15.610465498092612</c:v>
                </c:pt>
                <c:pt idx="1">
                  <c:v>30.35918084215227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0-461A-91E9-C9A20A04EE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0394191"/>
        <c:axId val="2010393231"/>
      </c:barChart>
      <c:catAx>
        <c:axId val="201039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393231"/>
        <c:crosses val="autoZero"/>
        <c:auto val="1"/>
        <c:lblAlgn val="ctr"/>
        <c:lblOffset val="100"/>
        <c:noMultiLvlLbl val="0"/>
      </c:catAx>
      <c:valAx>
        <c:axId val="2010393231"/>
        <c:scaling>
          <c:orientation val="minMax"/>
        </c:scaling>
        <c:delete val="1"/>
        <c:axPos val="l"/>
        <c:numFmt formatCode="0.0000" sourceLinked="1"/>
        <c:majorTickMark val="none"/>
        <c:minorTickMark val="none"/>
        <c:tickLblPos val="nextTo"/>
        <c:crossAx val="201039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Convexity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661458333333333"/>
                      <c:h val="0.133386752136752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7F6-4AC6-8DA7-49DB92490300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596497703412074"/>
                      <c:h val="0.133386752136752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F6-4AC6-8DA7-49DB92490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'GBP01 &amp; Convexity'!$B$29:$B$30</c:f>
              <c:strCache>
                <c:ptCount val="2"/>
                <c:pt idx="0">
                  <c:v>10 Year Gilt</c:v>
                </c:pt>
                <c:pt idx="1">
                  <c:v>30 Year Gilt</c:v>
                </c:pt>
              </c:strCache>
            </c:strRef>
          </c:cat>
          <c:val>
            <c:numRef>
              <c:f>'GBP01 &amp; Convexity'!$C$29:$C$30</c:f>
              <c:numCache>
                <c:formatCode>0.0000</c:formatCode>
                <c:ptCount val="2"/>
                <c:pt idx="0">
                  <c:v>318.57323856990587</c:v>
                </c:pt>
                <c:pt idx="1">
                  <c:v>1506.9299103337585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6-4AC6-8DA7-49DB924903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5981631"/>
        <c:axId val="1965980191"/>
      </c:barChart>
      <c:catAx>
        <c:axId val="196598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980191"/>
        <c:crosses val="autoZero"/>
        <c:auto val="1"/>
        <c:lblAlgn val="ctr"/>
        <c:lblOffset val="100"/>
        <c:noMultiLvlLbl val="0"/>
      </c:catAx>
      <c:valAx>
        <c:axId val="1965980191"/>
        <c:scaling>
          <c:orientation val="minMax"/>
          <c:max val="1700"/>
        </c:scaling>
        <c:delete val="1"/>
        <c:axPos val="l"/>
        <c:numFmt formatCode="0.0000" sourceLinked="1"/>
        <c:majorTickMark val="none"/>
        <c:minorTickMark val="none"/>
        <c:tickLblPos val="nextTo"/>
        <c:crossAx val="196598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Error - 10 year Gilt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'GBP01 &amp; Convexity'!$Z$3</c:f>
              <c:strCache>
                <c:ptCount val="1"/>
                <c:pt idx="0">
                  <c:v>Error (GBP01)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'GBP01 &amp; Convexity'!$Y$4:$Y$12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Convexity'!$Z$4:$Z$12</c:f>
              <c:numCache>
                <c:formatCode>_-[$£-809]* #,##0.00_-;\-[$£-809]* #,##0.00_-;_-[$£-809]* "-"??_-;_-@_-</c:formatCode>
                <c:ptCount val="9"/>
                <c:pt idx="0">
                  <c:v>14.373336549958861</c:v>
                </c:pt>
                <c:pt idx="1">
                  <c:v>11.073974607898567</c:v>
                </c:pt>
                <c:pt idx="2">
                  <c:v>7.5721380942044743</c:v>
                </c:pt>
                <c:pt idx="3">
                  <c:v>3.8776939087461448</c:v>
                </c:pt>
                <c:pt idx="4">
                  <c:v>0</c:v>
                </c:pt>
                <c:pt idx="5">
                  <c:v>-4.0520670764781448</c:v>
                </c:pt>
                <c:pt idx="6">
                  <c:v>-8.2700861588072581</c:v>
                </c:pt>
                <c:pt idx="7">
                  <c:v>-12.646066946868661</c:v>
                </c:pt>
                <c:pt idx="8">
                  <c:v>-17.172426851459743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F-464F-BA18-C023B69709A4}"/>
            </c:ext>
          </c:extLst>
        </c:ser>
        <c:ser>
          <c:idx val="2"/>
          <c:order val="1"/>
          <c:tx>
            <c:strRef>
              <c:f>'GBP01 &amp; Convexity'!$AA$3</c:f>
              <c:strCache>
                <c:ptCount val="1"/>
                <c:pt idx="0">
                  <c:v>Error (GBP01+Conv)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'GBP01 &amp; Convexity'!$Y$4:$Y$12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Convexity'!$AA$4:$AA$12</c:f>
              <c:numCache>
                <c:formatCode>_-[$£-809]* #,##0.00_-;[Red]\-[$£-809]* #,##0.00_-;_-[$£-809]* "-"??_-;_-@_-</c:formatCode>
                <c:ptCount val="9"/>
                <c:pt idx="0">
                  <c:v>-20.733169202801761</c:v>
                </c:pt>
                <c:pt idx="1">
                  <c:v>-14.651941520420397</c:v>
                </c:pt>
                <c:pt idx="2">
                  <c:v>-9.1628443178121373</c:v>
                </c:pt>
                <c:pt idx="3">
                  <c:v>-4.2757444948465295</c:v>
                </c:pt>
                <c:pt idx="4">
                  <c:v>0</c:v>
                </c:pt>
                <c:pt idx="5">
                  <c:v>3.6555126111716358</c:v>
                </c:pt>
                <c:pt idx="6">
                  <c:v>6.6823721767873465</c:v>
                </c:pt>
                <c:pt idx="7">
                  <c:v>9.0725883967284524</c:v>
                </c:pt>
                <c:pt idx="8">
                  <c:v>10.818578681792349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F-464F-BA18-C023B6970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679871"/>
        <c:axId val="2000680351"/>
      </c:lineChart>
      <c:catAx>
        <c:axId val="200067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80351"/>
        <c:crosses val="autoZero"/>
        <c:auto val="1"/>
        <c:lblAlgn val="ctr"/>
        <c:lblOffset val="100"/>
        <c:noMultiLvlLbl val="0"/>
      </c:catAx>
      <c:valAx>
        <c:axId val="2000680351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7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Error - 30 Year Gilt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'GBP01 &amp; Convexity'!$Z$16</c:f>
              <c:strCache>
                <c:ptCount val="1"/>
                <c:pt idx="0">
                  <c:v>Error (GBP01)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'GBP01 &amp; Convexity'!$Y$17:$Y$25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Convexity'!$Z$17:$Z$25</c:f>
              <c:numCache>
                <c:formatCode>_-[$£-809]* #,##0.00_-;\-[$£-809]* #,##0.00_-;_-[$£-809]* "-"??_-;_-@_-</c:formatCode>
                <c:ptCount val="9"/>
                <c:pt idx="0">
                  <c:v>18.74439327267536</c:v>
                </c:pt>
                <c:pt idx="1">
                  <c:v>15.584678337357865</c:v>
                </c:pt>
                <c:pt idx="2">
                  <c:v>11.319594022040167</c:v>
                </c:pt>
                <c:pt idx="3">
                  <c:v>6.08523338738018</c:v>
                </c:pt>
                <c:pt idx="4">
                  <c:v>0</c:v>
                </c:pt>
                <c:pt idx="5">
                  <c:v>-6.8330109875215985</c:v>
                </c:pt>
                <c:pt idx="6">
                  <c:v>-14.323960708346124</c:v>
                </c:pt>
                <c:pt idx="7">
                  <c:v>-22.39449698219655</c:v>
                </c:pt>
                <c:pt idx="8">
                  <c:v>-30.976227496184926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4-45F2-B201-763BCB408DF8}"/>
            </c:ext>
          </c:extLst>
        </c:ser>
        <c:ser>
          <c:idx val="1"/>
          <c:order val="1"/>
          <c:tx>
            <c:strRef>
              <c:f>'GBP01 &amp; Convexity'!$AA$16</c:f>
              <c:strCache>
                <c:ptCount val="1"/>
                <c:pt idx="0">
                  <c:v>Error (GBP01+Conv)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'GBP01 &amp; Convexity'!$Y$17:$Y$25</c:f>
              <c:numCache>
                <c:formatCode>General</c:formatCode>
                <c:ptCount val="9"/>
                <c:pt idx="0">
                  <c:v>-200</c:v>
                </c:pt>
                <c:pt idx="1">
                  <c:v>-150</c:v>
                </c:pt>
                <c:pt idx="2">
                  <c:v>-100</c:v>
                </c:pt>
                <c:pt idx="3">
                  <c:v>-50</c:v>
                </c:pt>
                <c:pt idx="4">
                  <c:v>0</c:v>
                </c:pt>
                <c:pt idx="5">
                  <c:v>50</c:v>
                </c:pt>
                <c:pt idx="6">
                  <c:v>100</c:v>
                </c:pt>
                <c:pt idx="7">
                  <c:v>150</c:v>
                </c:pt>
                <c:pt idx="8">
                  <c:v>200</c:v>
                </c:pt>
              </c:numCache>
            </c:numRef>
          </c:cat>
          <c:val>
            <c:numRef>
              <c:f>'GBP01 &amp; Convexity'!$AA$17:$AA$25</c:f>
              <c:numCache>
                <c:formatCode>_-[$£-809]* #,##0.00_-;[Red]\-[$£-809]* #,##0.00_-;_-[$£-809]* "-"??_-;_-@_-</c:formatCode>
                <c:ptCount val="9"/>
                <c:pt idx="0">
                  <c:v>-44.989093012062739</c:v>
                </c:pt>
                <c:pt idx="1">
                  <c:v>-30.36911138505522</c:v>
                </c:pt>
                <c:pt idx="2">
                  <c:v>-17.909821549276309</c:v>
                </c:pt>
                <c:pt idx="3">
                  <c:v>-7.7473165653838638</c:v>
                </c:pt>
                <c:pt idx="4">
                  <c:v>0</c:v>
                </c:pt>
                <c:pt idx="5">
                  <c:v>5.2290329942965084</c:v>
                </c:pt>
                <c:pt idx="6">
                  <c:v>7.8499435506671702</c:v>
                </c:pt>
                <c:pt idx="7">
                  <c:v>7.7843794888349542</c:v>
                </c:pt>
                <c:pt idx="8">
                  <c:v>4.9639484959119287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4-45F2-B201-763BCB408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32863"/>
        <c:axId val="105478943"/>
      </c:lineChart>
      <c:catAx>
        <c:axId val="9053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8943"/>
        <c:crosses val="autoZero"/>
        <c:auto val="1"/>
        <c:lblAlgn val="ctr"/>
        <c:lblOffset val="100"/>
        <c:noMultiLvlLbl val="0"/>
      </c:catAx>
      <c:valAx>
        <c:axId val="105478943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3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Yield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Dashboard!$C$24</c:f>
              <c:strCache>
                <c:ptCount val="1"/>
                <c:pt idx="0">
                  <c:v>Yield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Dashboard!$B$25:$B$32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</c:numCache>
            </c:numRef>
          </c:cat>
          <c:val>
            <c:numRef>
              <c:f>Dashboard!$C$25:$C$32</c:f>
              <c:numCache>
                <c:formatCode>0.00%</c:formatCode>
                <c:ptCount val="8"/>
                <c:pt idx="0">
                  <c:v>3.7719999999999997E-2</c:v>
                </c:pt>
                <c:pt idx="1">
                  <c:v>3.7990000000000003E-2</c:v>
                </c:pt>
                <c:pt idx="2">
                  <c:v>3.9609999999999999E-2</c:v>
                </c:pt>
                <c:pt idx="3">
                  <c:v>4.5179999999999998E-2</c:v>
                </c:pt>
                <c:pt idx="4">
                  <c:v>4.9160000000000002E-2</c:v>
                </c:pt>
                <c:pt idx="5">
                  <c:v>5.1639999999999998E-2</c:v>
                </c:pt>
                <c:pt idx="6">
                  <c:v>5.2699999999999997E-2</c:v>
                </c:pt>
                <c:pt idx="7">
                  <c:v>4.7399999999999998E-2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4-4398-9453-83C4DDBF4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9734927"/>
        <c:axId val="1389735407"/>
      </c:lineChart>
      <c:catAx>
        <c:axId val="1389734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35407"/>
        <c:crosses val="autoZero"/>
        <c:auto val="1"/>
        <c:lblAlgn val="ctr"/>
        <c:lblOffset val="100"/>
        <c:noMultiLvlLbl val="0"/>
      </c:catAx>
      <c:valAx>
        <c:axId val="138973540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3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10 Year Gilt Duration vs Convexity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 year Gilt'!$Q$2</c:f>
              <c:strCache>
                <c:ptCount val="1"/>
                <c:pt idx="0">
                  <c:v>Duration Implied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'10 year Gilt'!$O$3:$O$17</c:f>
              <c:numCache>
                <c:formatCode>0.00%</c:formatCode>
                <c:ptCount val="15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5.5E-2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7.4999999999999997E-2</c:v>
                </c:pt>
                <c:pt idx="14">
                  <c:v>0.08</c:v>
                </c:pt>
              </c:numCache>
            </c:numRef>
          </c:cat>
          <c:val>
            <c:numRef>
              <c:f>'10 year Gilt'!$Q$3:$Q$17</c:f>
              <c:numCache>
                <c:formatCode>_-[$£-809]* #,##0.00_-;\-[$£-809]* #,##0.00_-;_-[$£-809]* "-"??_-;_-@_-</c:formatCode>
                <c:ptCount val="15"/>
                <c:pt idx="0">
                  <c:v>152.54354090717109</c:v>
                </c:pt>
                <c:pt idx="1">
                  <c:v>145.06860182512827</c:v>
                </c:pt>
                <c:pt idx="2">
                  <c:v>137.59366274308547</c:v>
                </c:pt>
                <c:pt idx="3">
                  <c:v>130.11872366104268</c:v>
                </c:pt>
                <c:pt idx="4">
                  <c:v>122.64378457899987</c:v>
                </c:pt>
                <c:pt idx="5">
                  <c:v>115.16884549695708</c:v>
                </c:pt>
                <c:pt idx="6">
                  <c:v>107.69390641491428</c:v>
                </c:pt>
                <c:pt idx="7">
                  <c:v>100.2189673328715</c:v>
                </c:pt>
                <c:pt idx="8">
                  <c:v>92.744028250828691</c:v>
                </c:pt>
                <c:pt idx="9">
                  <c:v>85.269089168785897</c:v>
                </c:pt>
                <c:pt idx="10">
                  <c:v>77.794150086743102</c:v>
                </c:pt>
                <c:pt idx="11">
                  <c:v>70.319211004700307</c:v>
                </c:pt>
                <c:pt idx="12">
                  <c:v>62.844271922657491</c:v>
                </c:pt>
                <c:pt idx="13">
                  <c:v>55.369332840614724</c:v>
                </c:pt>
                <c:pt idx="14">
                  <c:v>47.894393758571915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A-41DC-B449-A222BACC30BD}"/>
            </c:ext>
          </c:extLst>
        </c:ser>
        <c:ser>
          <c:idx val="1"/>
          <c:order val="1"/>
          <c:tx>
            <c:strRef>
              <c:f>'10 year Gilt'!$R$2</c:f>
              <c:strCache>
                <c:ptCount val="1"/>
                <c:pt idx="0">
                  <c:v>Convexity Implied Price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'10 year Gilt'!$O$3:$O$17</c:f>
              <c:numCache>
                <c:formatCode>0.00%</c:formatCode>
                <c:ptCount val="15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5.5E-2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7.4999999999999997E-2</c:v>
                </c:pt>
                <c:pt idx="14">
                  <c:v>0.08</c:v>
                </c:pt>
              </c:numCache>
            </c:numRef>
          </c:cat>
          <c:val>
            <c:numRef>
              <c:f>'10 year Gilt'!$R$3:$R$17</c:f>
              <c:numCache>
                <c:formatCode>_-[$£-809]* #,##0.00_-;\-[$£-809]* #,##0.00_-;_-[$£-809]* "-"??_-;_-@_-</c:formatCode>
                <c:ptCount val="15"/>
                <c:pt idx="0">
                  <c:v>170.71871642481011</c:v>
                </c:pt>
                <c:pt idx="1">
                  <c:v>158.45964652574318</c:v>
                </c:pt>
                <c:pt idx="2">
                  <c:v>146.92986486097868</c:v>
                </c:pt>
                <c:pt idx="3">
                  <c:v>136.1293714305167</c:v>
                </c:pt>
                <c:pt idx="4">
                  <c:v>126.05816623435715</c:v>
                </c:pt>
                <c:pt idx="5">
                  <c:v>116.71624927250004</c:v>
                </c:pt>
                <c:pt idx="6">
                  <c:v>108.10362054494541</c:v>
                </c:pt>
                <c:pt idx="7">
                  <c:v>100.22028005169325</c:v>
                </c:pt>
                <c:pt idx="8">
                  <c:v>93.066227792743518</c:v>
                </c:pt>
                <c:pt idx="9">
                  <c:v>86.641463768096273</c:v>
                </c:pt>
                <c:pt idx="10">
                  <c:v>80.945987977751471</c:v>
                </c:pt>
                <c:pt idx="11">
                  <c:v>75.979800421709129</c:v>
                </c:pt>
                <c:pt idx="12">
                  <c:v>71.742901099969245</c:v>
                </c:pt>
                <c:pt idx="13">
                  <c:v>68.235290012531848</c:v>
                </c:pt>
                <c:pt idx="14">
                  <c:v>65.456967159396882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A-41DC-B449-A222BACC3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234751"/>
        <c:axId val="1514235711"/>
      </c:lineChart>
      <c:catAx>
        <c:axId val="1514234751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35711"/>
        <c:crosses val="autoZero"/>
        <c:auto val="1"/>
        <c:lblAlgn val="ctr"/>
        <c:lblOffset val="100"/>
        <c:noMultiLvlLbl val="0"/>
      </c:catAx>
      <c:valAx>
        <c:axId val="1514235711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3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2000" b="1"/>
              <a:t>30 Year Gilt Duration vs Convexity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 year Gilt'!$Q$2</c:f>
              <c:strCache>
                <c:ptCount val="1"/>
                <c:pt idx="0">
                  <c:v>Duration Implied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'30 year Gilt'!$O$3:$O$17</c:f>
              <c:numCache>
                <c:formatCode>0.00%</c:formatCode>
                <c:ptCount val="15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5.5E-2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7.4999999999999997E-2</c:v>
                </c:pt>
                <c:pt idx="14">
                  <c:v>0.08</c:v>
                </c:pt>
              </c:numCache>
            </c:numRef>
          </c:cat>
          <c:val>
            <c:numRef>
              <c:f>'30 year Gilt'!$Q$3:$Q$17</c:f>
              <c:numCache>
                <c:formatCode>_-[$£-809]* #,##0.00_-;\-[$£-809]* #,##0.00_-;_-[$£-809]* "-"??_-;_-@_-</c:formatCode>
                <c:ptCount val="15"/>
                <c:pt idx="0">
                  <c:v>197.68049218201773</c:v>
                </c:pt>
                <c:pt idx="1">
                  <c:v>184.70270327264649</c:v>
                </c:pt>
                <c:pt idx="2">
                  <c:v>171.72491436327522</c:v>
                </c:pt>
                <c:pt idx="3">
                  <c:v>158.74712545390398</c:v>
                </c:pt>
                <c:pt idx="4">
                  <c:v>145.76933654453273</c:v>
                </c:pt>
                <c:pt idx="5">
                  <c:v>132.79154763516146</c:v>
                </c:pt>
                <c:pt idx="6">
                  <c:v>119.81375872579021</c:v>
                </c:pt>
                <c:pt idx="7">
                  <c:v>106.83596981641897</c:v>
                </c:pt>
                <c:pt idx="8">
                  <c:v>93.858180907047696</c:v>
                </c:pt>
                <c:pt idx="9">
                  <c:v>80.880391997676455</c:v>
                </c:pt>
                <c:pt idx="10">
                  <c:v>67.902603088305213</c:v>
                </c:pt>
                <c:pt idx="11">
                  <c:v>54.924814178933936</c:v>
                </c:pt>
                <c:pt idx="12">
                  <c:v>41.947025269562673</c:v>
                </c:pt>
                <c:pt idx="13">
                  <c:v>28.969236360191442</c:v>
                </c:pt>
                <c:pt idx="14">
                  <c:v>15.991447450820182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6-4C20-AE50-38EB0E1F5C24}"/>
            </c:ext>
          </c:extLst>
        </c:ser>
        <c:ser>
          <c:idx val="1"/>
          <c:order val="1"/>
          <c:tx>
            <c:strRef>
              <c:f>'30 year Gilt'!$R$2</c:f>
              <c:strCache>
                <c:ptCount val="1"/>
                <c:pt idx="0">
                  <c:v>Convexity Implied Price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'30 year Gilt'!$O$3:$O$17</c:f>
              <c:numCache>
                <c:formatCode>0.00%</c:formatCode>
                <c:ptCount val="15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5.5E-2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7.4999999999999997E-2</c:v>
                </c:pt>
                <c:pt idx="14">
                  <c:v>0.08</c:v>
                </c:pt>
              </c:numCache>
            </c:numRef>
          </c:cat>
          <c:val>
            <c:numRef>
              <c:f>'30 year Gilt'!$R$3:$R$17</c:f>
              <c:numCache>
                <c:formatCode>_-[$£-809]* #,##0.00_-;\-[$£-809]* #,##0.00_-;_-[$£-809]* "-"??_-;_-@_-</c:formatCode>
                <c:ptCount val="15"/>
                <c:pt idx="0">
                  <c:v>312.73773311730838</c:v>
                </c:pt>
                <c:pt idx="1">
                  <c:v>274.42544447409733</c:v>
                </c:pt>
                <c:pt idx="2">
                  <c:v>239.25951695033976</c:v>
                </c:pt>
                <c:pt idx="3">
                  <c:v>207.2399505460358</c:v>
                </c:pt>
                <c:pt idx="4">
                  <c:v>178.36674526118534</c:v>
                </c:pt>
                <c:pt idx="5">
                  <c:v>152.63990109578836</c:v>
                </c:pt>
                <c:pt idx="6">
                  <c:v>130.05941804984494</c:v>
                </c:pt>
                <c:pt idx="7">
                  <c:v>110.62529612335506</c:v>
                </c:pt>
                <c:pt idx="8">
                  <c:v>94.337535316318679</c:v>
                </c:pt>
                <c:pt idx="9">
                  <c:v>81.19613562873586</c:v>
                </c:pt>
                <c:pt idx="10">
                  <c:v>71.201097060606543</c:v>
                </c:pt>
                <c:pt idx="11">
                  <c:v>64.352419611930756</c:v>
                </c:pt>
                <c:pt idx="12">
                  <c:v>60.6501032827085</c:v>
                </c:pt>
                <c:pt idx="13">
                  <c:v>60.094148072939774</c:v>
                </c:pt>
                <c:pt idx="14">
                  <c:v>62.684553982624578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6-4C20-AE50-38EB0E1F5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285631"/>
        <c:axId val="1514272671"/>
      </c:lineChart>
      <c:catAx>
        <c:axId val="1514285631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72671"/>
        <c:crosses val="autoZero"/>
        <c:auto val="1"/>
        <c:lblAlgn val="ctr"/>
        <c:lblOffset val="100"/>
        <c:noMultiLvlLbl val="0"/>
      </c:catAx>
      <c:valAx>
        <c:axId val="1514272671"/>
        <c:scaling>
          <c:orientation val="minMax"/>
        </c:scaling>
        <c:delete val="0"/>
        <c:axPos val="l"/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8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jpe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162546</xdr:rowOff>
    </xdr:from>
    <xdr:to>
      <xdr:col>20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515AF-2003-430E-BAB6-530C3F6A2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28</xdr:row>
      <xdr:rowOff>160982</xdr:rowOff>
    </xdr:from>
    <xdr:to>
      <xdr:col>20</xdr:col>
      <xdr:colOff>0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8CD802-2B34-4ED0-9C01-2FB9C7487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340576</xdr:colOff>
      <xdr:row>6</xdr:row>
      <xdr:rowOff>0</xdr:rowOff>
    </xdr:from>
    <xdr:to>
      <xdr:col>3</xdr:col>
      <xdr:colOff>57510</xdr:colOff>
      <xdr:row>22</xdr:row>
      <xdr:rowOff>13565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720232-40DC-4EE2-A91E-1DB751A21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CB0340-168F-4049-B60B-41C39E78E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54</xdr:row>
      <xdr:rowOff>0</xdr:rowOff>
    </xdr:from>
    <xdr:to>
      <xdr:col>9</xdr:col>
      <xdr:colOff>0</xdr:colOff>
      <xdr:row>74</xdr:row>
      <xdr:rowOff>1833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DC39A9-5DFC-4B6A-B0C9-903A98D82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</xdr:colOff>
      <xdr:row>54</xdr:row>
      <xdr:rowOff>0</xdr:rowOff>
    </xdr:from>
    <xdr:to>
      <xdr:col>19</xdr:col>
      <xdr:colOff>267219</xdr:colOff>
      <xdr:row>74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5D67EC-D713-464D-BD1D-41A437786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</xdr:colOff>
      <xdr:row>32</xdr:row>
      <xdr:rowOff>150253</xdr:rowOff>
    </xdr:from>
    <xdr:to>
      <xdr:col>8</xdr:col>
      <xdr:colOff>1</xdr:colOff>
      <xdr:row>53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1C0638-D8AD-56D9-AF21-A1CBE5CD3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11545</xdr:colOff>
      <xdr:row>26</xdr:row>
      <xdr:rowOff>161636</xdr:rowOff>
    </xdr:from>
    <xdr:to>
      <xdr:col>29</xdr:col>
      <xdr:colOff>0</xdr:colOff>
      <xdr:row>48</xdr:row>
      <xdr:rowOff>131636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BE8238E-5CF3-4BDD-8A5F-44DC85C44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49</xdr:row>
      <xdr:rowOff>0</xdr:rowOff>
    </xdr:from>
    <xdr:to>
      <xdr:col>29</xdr:col>
      <xdr:colOff>0</xdr:colOff>
      <xdr:row>70</xdr:row>
      <xdr:rowOff>141676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6315E5A-176F-43CA-B939-725A6C69B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21</xdr:col>
      <xdr:colOff>472226</xdr:colOff>
      <xdr:row>8</xdr:row>
      <xdr:rowOff>0</xdr:rowOff>
    </xdr:from>
    <xdr:to>
      <xdr:col>28</xdr:col>
      <xdr:colOff>159777</xdr:colOff>
      <xdr:row>19</xdr:row>
      <xdr:rowOff>118056</xdr:rowOff>
    </xdr:to>
    <xdr:pic>
      <xdr:nvPicPr>
        <xdr:cNvPr id="12" name="Picture 11" descr="Flag of the United Kingdom | History, Meaning, Colors &amp; Design | Britannica">
          <a:extLst>
            <a:ext uri="{FF2B5EF4-FFF2-40B4-BE49-F238E27FC236}">
              <a16:creationId xmlns:a16="http://schemas.microsoft.com/office/drawing/2014/main" id="{480BF1C5-ACD8-4557-85DF-F4AA4291A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8958" y="1674254"/>
          <a:ext cx="3969777" cy="2006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late">
  <a:themeElements>
    <a:clrScheme name="Slate">
      <a:dk1>
        <a:sysClr val="windowText" lastClr="000000"/>
      </a:dk1>
      <a:lt1>
        <a:sysClr val="window" lastClr="FFFFFF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Slate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lat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DBE0-370D-4096-9B8C-879BAFE5AC9D}">
  <dimension ref="B2:AA35"/>
  <sheetViews>
    <sheetView workbookViewId="0">
      <selection activeCell="S22" sqref="S22"/>
    </sheetView>
  </sheetViews>
  <sheetFormatPr defaultRowHeight="13.8" x14ac:dyDescent="0.25"/>
  <cols>
    <col min="2" max="2" width="27.109375" bestFit="1" customWidth="1"/>
    <col min="3" max="3" width="10.109375" bestFit="1" customWidth="1"/>
    <col min="4" max="4" width="11.21875" bestFit="1" customWidth="1"/>
    <col min="5" max="5" width="14.33203125" bestFit="1" customWidth="1"/>
    <col min="6" max="6" width="27.109375" bestFit="1" customWidth="1"/>
    <col min="7" max="7" width="10.109375" bestFit="1" customWidth="1"/>
    <col min="10" max="10" width="14.33203125" bestFit="1" customWidth="1"/>
    <col min="11" max="11" width="27.44140625" bestFit="1" customWidth="1"/>
    <col min="12" max="12" width="10.6640625" bestFit="1" customWidth="1"/>
    <col min="13" max="13" width="16.21875" bestFit="1" customWidth="1"/>
    <col min="14" max="14" width="8.77734375" bestFit="1" customWidth="1"/>
    <col min="15" max="15" width="10.5546875" bestFit="1" customWidth="1"/>
    <col min="16" max="16" width="17" bestFit="1" customWidth="1"/>
    <col min="17" max="17" width="14.33203125" bestFit="1" customWidth="1"/>
    <col min="18" max="18" width="20.77734375" bestFit="1" customWidth="1"/>
    <col min="20" max="20" width="14.33203125" bestFit="1" customWidth="1"/>
    <col min="21" max="21" width="8.77734375" bestFit="1" customWidth="1"/>
    <col min="22" max="22" width="10.5546875" bestFit="1" customWidth="1"/>
    <col min="23" max="23" width="17" bestFit="1" customWidth="1"/>
    <col min="25" max="26" width="14.33203125" bestFit="1" customWidth="1"/>
    <col min="27" max="27" width="20.77734375" bestFit="1" customWidth="1"/>
  </cols>
  <sheetData>
    <row r="2" spans="2:27" x14ac:dyDescent="0.25">
      <c r="B2" s="72" t="s">
        <v>6</v>
      </c>
      <c r="C2" s="72"/>
      <c r="F2" s="73" t="s">
        <v>7</v>
      </c>
      <c r="G2" s="73"/>
      <c r="J2" s="69" t="s">
        <v>34</v>
      </c>
      <c r="K2" s="70"/>
      <c r="L2" s="70"/>
      <c r="M2" s="70"/>
      <c r="N2" s="70"/>
      <c r="O2" s="70"/>
      <c r="P2" s="70"/>
      <c r="Q2" s="70"/>
      <c r="R2" s="71"/>
    </row>
    <row r="3" spans="2:27" x14ac:dyDescent="0.25">
      <c r="B3" s="34" t="s">
        <v>0</v>
      </c>
      <c r="C3" s="23">
        <f>'10 year Gilt'!C3</f>
        <v>99.770470987948926</v>
      </c>
      <c r="F3" s="34" t="s">
        <v>0</v>
      </c>
      <c r="G3" s="23">
        <v>86.766999999999996</v>
      </c>
      <c r="J3" s="43" t="s">
        <v>37</v>
      </c>
      <c r="K3" s="43" t="s">
        <v>45</v>
      </c>
      <c r="L3" s="43" t="s">
        <v>38</v>
      </c>
      <c r="M3" s="43" t="s">
        <v>39</v>
      </c>
      <c r="N3" s="43" t="s">
        <v>42</v>
      </c>
      <c r="O3" s="43" t="s">
        <v>41</v>
      </c>
      <c r="P3" s="43" t="s">
        <v>40</v>
      </c>
      <c r="Q3" s="43" t="s">
        <v>43</v>
      </c>
      <c r="R3" s="43" t="s">
        <v>44</v>
      </c>
      <c r="T3" s="43" t="s">
        <v>37</v>
      </c>
      <c r="U3" s="43" t="s">
        <v>42</v>
      </c>
      <c r="V3" s="43" t="s">
        <v>41</v>
      </c>
      <c r="W3" s="43" t="s">
        <v>40</v>
      </c>
      <c r="Y3" s="43" t="s">
        <v>37</v>
      </c>
      <c r="Z3" s="43" t="s">
        <v>43</v>
      </c>
      <c r="AA3" s="43" t="s">
        <v>44</v>
      </c>
    </row>
    <row r="4" spans="2:27" x14ac:dyDescent="0.25">
      <c r="B4" s="34" t="s">
        <v>8</v>
      </c>
      <c r="C4" s="23">
        <v>100</v>
      </c>
      <c r="F4" s="34" t="s">
        <v>8</v>
      </c>
      <c r="G4" s="23">
        <v>100</v>
      </c>
      <c r="J4" s="19">
        <v>-200</v>
      </c>
      <c r="K4" s="56">
        <f>J4/10000</f>
        <v>-0.02</v>
      </c>
      <c r="L4" s="57">
        <f>K4+$C$5</f>
        <v>2.53E-2</v>
      </c>
      <c r="M4" s="59">
        <v>116.54341209811885</v>
      </c>
      <c r="N4" s="59">
        <f>M4-$M$8</f>
        <v>16.772941110169924</v>
      </c>
      <c r="O4" s="59">
        <f>-$C$34*K4*10000</f>
        <v>31.146277660128785</v>
      </c>
      <c r="P4" s="59">
        <f>(-$M$8*$C$24*K4)+(0.5*$M$8*$C$29*(K4^2))</f>
        <v>37.506110312971686</v>
      </c>
      <c r="Q4" s="59">
        <f>-($N4-O4)</f>
        <v>14.373336549958861</v>
      </c>
      <c r="R4" s="63">
        <f>($N4-P4)</f>
        <v>-20.733169202801761</v>
      </c>
      <c r="T4" s="19">
        <v>-200</v>
      </c>
      <c r="U4" s="59">
        <v>16.772941110169924</v>
      </c>
      <c r="V4" s="59">
        <v>31.146277660128785</v>
      </c>
      <c r="W4" s="59">
        <v>37.506110312971686</v>
      </c>
      <c r="Y4" s="19">
        <v>-200</v>
      </c>
      <c r="Z4" s="59">
        <v>14.373336549958861</v>
      </c>
      <c r="AA4" s="63">
        <v>-20.733169202801761</v>
      </c>
    </row>
    <row r="5" spans="2:27" x14ac:dyDescent="0.25">
      <c r="B5" s="34" t="s">
        <v>1</v>
      </c>
      <c r="C5" s="9">
        <v>4.53E-2</v>
      </c>
      <c r="F5" s="34" t="s">
        <v>1</v>
      </c>
      <c r="G5" s="9">
        <v>5.2760000000000001E-2</v>
      </c>
      <c r="J5" s="8">
        <v>-150</v>
      </c>
      <c r="K5" s="26">
        <f t="shared" ref="K5:K12" si="0">J5/10000</f>
        <v>-1.4999999999999999E-2</v>
      </c>
      <c r="L5" s="9">
        <f t="shared" ref="L5:L12" si="1">K5+$C$5</f>
        <v>3.0300000000000001E-2</v>
      </c>
      <c r="M5" s="60">
        <v>112.05620462514695</v>
      </c>
      <c r="N5" s="60">
        <f t="shared" ref="N5:N12" si="2">M5-$M$8</f>
        <v>12.285733637198021</v>
      </c>
      <c r="O5" s="60">
        <f t="shared" ref="O5:O12" si="3">-$C$34*K5*10000</f>
        <v>23.359708245096588</v>
      </c>
      <c r="P5" s="60">
        <f t="shared" ref="P5:P12" si="4">(-$M$8*$C$24*K5)+(0.5*$M$8*$C$29*(K5^2))</f>
        <v>26.937675157618418</v>
      </c>
      <c r="Q5" s="60">
        <f t="shared" ref="Q5:Q12" si="5">-($N5-O5)</f>
        <v>11.073974607898567</v>
      </c>
      <c r="R5" s="64">
        <f t="shared" ref="R5:R12" si="6">($N5-P5)</f>
        <v>-14.651941520420397</v>
      </c>
      <c r="T5" s="8">
        <v>-150</v>
      </c>
      <c r="U5" s="60">
        <v>12.285733637198021</v>
      </c>
      <c r="V5" s="60">
        <v>23.359708245096588</v>
      </c>
      <c r="W5" s="60">
        <v>26.937675157618418</v>
      </c>
      <c r="Y5" s="8">
        <v>-150</v>
      </c>
      <c r="Z5" s="60">
        <v>11.073974607898567</v>
      </c>
      <c r="AA5" s="64">
        <v>-14.651941520420397</v>
      </c>
    </row>
    <row r="6" spans="2:27" x14ac:dyDescent="0.25">
      <c r="B6" s="34" t="s">
        <v>21</v>
      </c>
      <c r="C6" s="9">
        <f>C5/2</f>
        <v>2.265E-2</v>
      </c>
      <c r="F6" s="34" t="s">
        <v>21</v>
      </c>
      <c r="G6" s="36">
        <f>G5/2</f>
        <v>2.6380000000000001E-2</v>
      </c>
      <c r="J6" s="8">
        <v>-100</v>
      </c>
      <c r="K6" s="26">
        <f t="shared" si="0"/>
        <v>-0.01</v>
      </c>
      <c r="L6" s="9">
        <f t="shared" si="1"/>
        <v>3.5299999999999998E-2</v>
      </c>
      <c r="M6" s="60">
        <v>107.77147172380884</v>
      </c>
      <c r="N6" s="60">
        <f t="shared" si="2"/>
        <v>8.0010007358599182</v>
      </c>
      <c r="O6" s="60">
        <f t="shared" si="3"/>
        <v>15.573138830064392</v>
      </c>
      <c r="P6" s="60">
        <f t="shared" si="4"/>
        <v>17.163845053672055</v>
      </c>
      <c r="Q6" s="60">
        <f t="shared" si="5"/>
        <v>7.5721380942044743</v>
      </c>
      <c r="R6" s="64">
        <f t="shared" si="6"/>
        <v>-9.1628443178121373</v>
      </c>
      <c r="T6" s="8">
        <v>-100</v>
      </c>
      <c r="U6" s="60">
        <v>8.0010007358599182</v>
      </c>
      <c r="V6" s="60">
        <v>15.573138830064392</v>
      </c>
      <c r="W6" s="60">
        <v>17.163845053672055</v>
      </c>
      <c r="Y6" s="8">
        <v>-100</v>
      </c>
      <c r="Z6" s="60">
        <v>7.5721380942044743</v>
      </c>
      <c r="AA6" s="64">
        <v>-9.1628443178121373</v>
      </c>
    </row>
    <row r="7" spans="2:27" x14ac:dyDescent="0.25">
      <c r="B7" s="34" t="s">
        <v>9</v>
      </c>
      <c r="C7" s="10">
        <v>4.4999999999999998E-2</v>
      </c>
      <c r="F7" s="34" t="s">
        <v>9</v>
      </c>
      <c r="G7" s="9">
        <v>4.3749999999999997E-2</v>
      </c>
      <c r="J7" s="8">
        <v>-50</v>
      </c>
      <c r="K7" s="26">
        <f t="shared" si="0"/>
        <v>-5.0000000000000001E-3</v>
      </c>
      <c r="L7" s="9">
        <f t="shared" si="1"/>
        <v>4.0300000000000002E-2</v>
      </c>
      <c r="M7" s="60">
        <v>103.67934649423498</v>
      </c>
      <c r="N7" s="60">
        <f t="shared" si="2"/>
        <v>3.9088755062860514</v>
      </c>
      <c r="O7" s="60">
        <f t="shared" si="3"/>
        <v>7.7865694150321962</v>
      </c>
      <c r="P7" s="60">
        <f t="shared" si="4"/>
        <v>8.1846200011325809</v>
      </c>
      <c r="Q7" s="60">
        <f t="shared" si="5"/>
        <v>3.8776939087461448</v>
      </c>
      <c r="R7" s="64">
        <f t="shared" si="6"/>
        <v>-4.2757444948465295</v>
      </c>
      <c r="T7" s="8">
        <v>-50</v>
      </c>
      <c r="U7" s="60">
        <v>3.9088755062860514</v>
      </c>
      <c r="V7" s="60">
        <v>7.7865694150321962</v>
      </c>
      <c r="W7" s="60">
        <v>8.1846200011325809</v>
      </c>
      <c r="Y7" s="8">
        <v>-50</v>
      </c>
      <c r="Z7" s="60">
        <v>3.8776939087461448</v>
      </c>
      <c r="AA7" s="64">
        <v>-4.2757444948465295</v>
      </c>
    </row>
    <row r="8" spans="2:27" x14ac:dyDescent="0.25">
      <c r="B8" s="34" t="s">
        <v>2</v>
      </c>
      <c r="C8" s="23">
        <f>C4*C7</f>
        <v>4.5</v>
      </c>
      <c r="F8" s="34" t="s">
        <v>2</v>
      </c>
      <c r="G8" s="23">
        <f>G4*G7</f>
        <v>4.375</v>
      </c>
      <c r="J8" s="44">
        <v>0</v>
      </c>
      <c r="K8" s="47">
        <f t="shared" si="0"/>
        <v>0</v>
      </c>
      <c r="L8" s="51">
        <f t="shared" si="1"/>
        <v>4.53E-2</v>
      </c>
      <c r="M8" s="62">
        <v>99.770470987948926</v>
      </c>
      <c r="N8" s="62">
        <f t="shared" si="2"/>
        <v>0</v>
      </c>
      <c r="O8" s="62">
        <f t="shared" si="3"/>
        <v>0</v>
      </c>
      <c r="P8" s="62">
        <f t="shared" si="4"/>
        <v>0</v>
      </c>
      <c r="Q8" s="62">
        <f t="shared" si="5"/>
        <v>0</v>
      </c>
      <c r="R8" s="64">
        <f t="shared" si="6"/>
        <v>0</v>
      </c>
      <c r="T8" s="44">
        <v>0</v>
      </c>
      <c r="U8" s="62">
        <v>0</v>
      </c>
      <c r="V8" s="62">
        <v>0</v>
      </c>
      <c r="W8" s="62">
        <v>0</v>
      </c>
      <c r="Y8" s="44">
        <v>0</v>
      </c>
      <c r="Z8" s="62">
        <v>0</v>
      </c>
      <c r="AA8" s="66">
        <v>0</v>
      </c>
    </row>
    <row r="9" spans="2:27" x14ac:dyDescent="0.25">
      <c r="B9" s="34" t="s">
        <v>26</v>
      </c>
      <c r="C9" s="23">
        <f>C8/2</f>
        <v>2.25</v>
      </c>
      <c r="F9" s="34" t="s">
        <v>26</v>
      </c>
      <c r="G9" s="23">
        <f>G8/2</f>
        <v>2.1875</v>
      </c>
      <c r="J9" s="8">
        <v>50</v>
      </c>
      <c r="K9" s="26">
        <f t="shared" si="0"/>
        <v>5.0000000000000001E-3</v>
      </c>
      <c r="L9" s="9">
        <f t="shared" si="1"/>
        <v>5.0299999999999997E-2</v>
      </c>
      <c r="M9" s="60">
        <v>96.035968649394874</v>
      </c>
      <c r="N9" s="60">
        <f t="shared" si="2"/>
        <v>-3.7345023385540514</v>
      </c>
      <c r="O9" s="60">
        <f t="shared" si="3"/>
        <v>-7.7865694150321962</v>
      </c>
      <c r="P9" s="60">
        <f t="shared" si="4"/>
        <v>-7.3900149497256873</v>
      </c>
      <c r="Q9" s="60">
        <f t="shared" si="5"/>
        <v>-4.0520670764781448</v>
      </c>
      <c r="R9" s="64">
        <f t="shared" si="6"/>
        <v>3.6555126111716358</v>
      </c>
      <c r="T9" s="8">
        <v>50</v>
      </c>
      <c r="U9" s="60">
        <v>-3.7345023385540514</v>
      </c>
      <c r="V9" s="60">
        <v>-7.7865694150321962</v>
      </c>
      <c r="W9" s="60">
        <v>-7.3900149497256873</v>
      </c>
      <c r="Y9" s="8">
        <v>50</v>
      </c>
      <c r="Z9" s="60">
        <v>-4.0520670764781448</v>
      </c>
      <c r="AA9" s="64">
        <v>3.6555126111716358</v>
      </c>
    </row>
    <row r="10" spans="2:27" x14ac:dyDescent="0.25">
      <c r="B10" s="34" t="s">
        <v>4</v>
      </c>
      <c r="C10" s="11">
        <v>45723</v>
      </c>
      <c r="F10" s="34" t="s">
        <v>4</v>
      </c>
      <c r="G10" s="11">
        <v>45869</v>
      </c>
      <c r="J10" s="8">
        <v>100</v>
      </c>
      <c r="K10" s="26">
        <f t="shared" si="0"/>
        <v>0.01</v>
      </c>
      <c r="L10" s="9">
        <f t="shared" si="1"/>
        <v>5.5300000000000002E-2</v>
      </c>
      <c r="M10" s="60">
        <v>92.467418316691791</v>
      </c>
      <c r="N10" s="60">
        <f t="shared" si="2"/>
        <v>-7.3030526712571344</v>
      </c>
      <c r="O10" s="60">
        <f t="shared" si="3"/>
        <v>-15.573138830064392</v>
      </c>
      <c r="P10" s="60">
        <f t="shared" si="4"/>
        <v>-13.985424848044481</v>
      </c>
      <c r="Q10" s="60">
        <f t="shared" si="5"/>
        <v>-8.2700861588072581</v>
      </c>
      <c r="R10" s="64">
        <f t="shared" si="6"/>
        <v>6.6823721767873465</v>
      </c>
      <c r="T10" s="8">
        <v>100</v>
      </c>
      <c r="U10" s="60">
        <v>-7.3030526712571344</v>
      </c>
      <c r="V10" s="60">
        <v>-15.573138830064392</v>
      </c>
      <c r="W10" s="60">
        <v>-13.985424848044481</v>
      </c>
      <c r="Y10" s="8">
        <v>100</v>
      </c>
      <c r="Z10" s="60">
        <v>-8.2700861588072581</v>
      </c>
      <c r="AA10" s="64">
        <v>6.6823721767873465</v>
      </c>
    </row>
    <row r="11" spans="2:27" x14ac:dyDescent="0.25">
      <c r="B11" s="34" t="s">
        <v>15</v>
      </c>
      <c r="C11" s="11">
        <f>EDATE(C10,6)</f>
        <v>45907</v>
      </c>
      <c r="F11" s="34" t="s">
        <v>15</v>
      </c>
      <c r="G11" s="11">
        <f>G10</f>
        <v>45869</v>
      </c>
      <c r="J11" s="8">
        <v>150</v>
      </c>
      <c r="K11" s="26">
        <f t="shared" si="0"/>
        <v>1.4999999999999999E-2</v>
      </c>
      <c r="L11" s="9">
        <f t="shared" si="1"/>
        <v>6.0299999999999999E-2</v>
      </c>
      <c r="M11" s="60">
        <v>89.056829689720999</v>
      </c>
      <c r="N11" s="60">
        <f t="shared" si="2"/>
        <v>-10.713641298227927</v>
      </c>
      <c r="O11" s="60">
        <f t="shared" si="3"/>
        <v>-23.359708245096588</v>
      </c>
      <c r="P11" s="60">
        <f t="shared" si="4"/>
        <v>-19.786229694956379</v>
      </c>
      <c r="Q11" s="60">
        <f t="shared" si="5"/>
        <v>-12.646066946868661</v>
      </c>
      <c r="R11" s="64">
        <f t="shared" si="6"/>
        <v>9.0725883967284524</v>
      </c>
      <c r="T11" s="8">
        <v>150</v>
      </c>
      <c r="U11" s="60">
        <v>-10.713641298227927</v>
      </c>
      <c r="V11" s="60">
        <v>-23.359708245096588</v>
      </c>
      <c r="W11" s="60">
        <v>-19.786229694956379</v>
      </c>
      <c r="Y11" s="8">
        <v>150</v>
      </c>
      <c r="Z11" s="60">
        <v>-12.646066946868661</v>
      </c>
      <c r="AA11" s="64">
        <v>9.0725883967284524</v>
      </c>
    </row>
    <row r="12" spans="2:27" x14ac:dyDescent="0.25">
      <c r="B12" s="34" t="s">
        <v>16</v>
      </c>
      <c r="C12" s="11">
        <f>EDATE(C11,6)</f>
        <v>46088</v>
      </c>
      <c r="F12" s="34" t="s">
        <v>16</v>
      </c>
      <c r="G12" s="11">
        <f>EDATE(G11,6)</f>
        <v>46053</v>
      </c>
      <c r="J12" s="20">
        <v>200</v>
      </c>
      <c r="K12" s="27">
        <f t="shared" si="0"/>
        <v>0.02</v>
      </c>
      <c r="L12" s="58">
        <f t="shared" si="1"/>
        <v>6.5299999999999997E-2</v>
      </c>
      <c r="M12" s="61">
        <v>85.796620179279884</v>
      </c>
      <c r="N12" s="61">
        <f t="shared" si="2"/>
        <v>-13.973850808669042</v>
      </c>
      <c r="O12" s="61">
        <f t="shared" si="3"/>
        <v>-31.146277660128785</v>
      </c>
      <c r="P12" s="61">
        <f t="shared" si="4"/>
        <v>-24.792429490461391</v>
      </c>
      <c r="Q12" s="61">
        <f t="shared" si="5"/>
        <v>-17.172426851459743</v>
      </c>
      <c r="R12" s="65">
        <f t="shared" si="6"/>
        <v>10.818578681792349</v>
      </c>
      <c r="T12" s="20">
        <v>200</v>
      </c>
      <c r="U12" s="61">
        <v>-13.973850808669042</v>
      </c>
      <c r="V12" s="61">
        <v>-31.146277660128785</v>
      </c>
      <c r="W12" s="61">
        <v>-24.792429490461391</v>
      </c>
      <c r="Y12" s="20">
        <v>200</v>
      </c>
      <c r="Z12" s="61">
        <v>-17.172426851459743</v>
      </c>
      <c r="AA12" s="65">
        <v>10.818578681792349</v>
      </c>
    </row>
    <row r="13" spans="2:27" x14ac:dyDescent="0.25">
      <c r="B13" s="34" t="s">
        <v>3</v>
      </c>
      <c r="C13" s="11">
        <v>46005</v>
      </c>
      <c r="F13" s="34" t="s">
        <v>3</v>
      </c>
      <c r="G13" s="11">
        <v>46005</v>
      </c>
    </row>
    <row r="14" spans="2:27" x14ac:dyDescent="0.25">
      <c r="B14" s="35" t="s">
        <v>5</v>
      </c>
      <c r="C14" s="15">
        <v>49375</v>
      </c>
      <c r="F14" s="35" t="s">
        <v>5</v>
      </c>
      <c r="G14" s="15">
        <v>56461</v>
      </c>
    </row>
    <row r="15" spans="2:27" x14ac:dyDescent="0.25">
      <c r="J15" s="69" t="s">
        <v>34</v>
      </c>
      <c r="K15" s="70"/>
      <c r="L15" s="70"/>
      <c r="M15" s="70"/>
      <c r="N15" s="70"/>
      <c r="O15" s="70"/>
      <c r="P15" s="70"/>
      <c r="Q15" s="70"/>
      <c r="R15" s="71"/>
    </row>
    <row r="16" spans="2:27" x14ac:dyDescent="0.25">
      <c r="J16" s="43" t="s">
        <v>37</v>
      </c>
      <c r="K16" s="43" t="s">
        <v>45</v>
      </c>
      <c r="L16" s="43" t="s">
        <v>38</v>
      </c>
      <c r="M16" s="43" t="s">
        <v>39</v>
      </c>
      <c r="N16" s="43" t="s">
        <v>42</v>
      </c>
      <c r="O16" s="43" t="s">
        <v>41</v>
      </c>
      <c r="P16" s="43" t="s">
        <v>40</v>
      </c>
      <c r="Q16" s="43" t="s">
        <v>43</v>
      </c>
      <c r="R16" s="43" t="s">
        <v>44</v>
      </c>
      <c r="T16" s="43" t="s">
        <v>37</v>
      </c>
      <c r="U16" s="43" t="s">
        <v>42</v>
      </c>
      <c r="V16" s="43" t="s">
        <v>41</v>
      </c>
      <c r="W16" s="43" t="s">
        <v>40</v>
      </c>
      <c r="Y16" s="43" t="s">
        <v>37</v>
      </c>
      <c r="Z16" s="43" t="s">
        <v>43</v>
      </c>
      <c r="AA16" s="43" t="s">
        <v>44</v>
      </c>
    </row>
    <row r="17" spans="2:27" x14ac:dyDescent="0.25">
      <c r="B17" s="68" t="s">
        <v>18</v>
      </c>
      <c r="C17" s="68"/>
      <c r="D17" s="68"/>
      <c r="E17" s="68"/>
      <c r="J17" s="19">
        <v>-200</v>
      </c>
      <c r="K17" s="56">
        <f>J17/10000</f>
        <v>-0.02</v>
      </c>
      <c r="L17" s="57">
        <f>K17+$G$5</f>
        <v>3.2759999999999997E-2</v>
      </c>
      <c r="M17" s="59">
        <v>120.4732822939354</v>
      </c>
      <c r="N17" s="59">
        <f>M17-$M$21</f>
        <v>33.778840864860626</v>
      </c>
      <c r="O17" s="59">
        <f>-$C$35*K17*10000</f>
        <v>52.523234137535987</v>
      </c>
      <c r="P17" s="59">
        <f>(-$M$21*$C$25*K17)+(0.5*$M$21*$C$30*(K17^2))</f>
        <v>78.767933876923365</v>
      </c>
      <c r="Q17" s="59">
        <f>-($N17-O17)</f>
        <v>18.74439327267536</v>
      </c>
      <c r="R17" s="63">
        <f>($N17-P17)</f>
        <v>-44.989093012062739</v>
      </c>
      <c r="T17" s="19">
        <v>-200</v>
      </c>
      <c r="U17" s="59">
        <v>33.778840864860626</v>
      </c>
      <c r="V17" s="59">
        <v>52.523234137535987</v>
      </c>
      <c r="W17" s="59">
        <v>78.767933876923365</v>
      </c>
      <c r="Y17" s="19">
        <v>-200</v>
      </c>
      <c r="Z17" s="59">
        <v>18.74439327267536</v>
      </c>
      <c r="AA17" s="63">
        <v>-44.989093012062739</v>
      </c>
    </row>
    <row r="18" spans="2:27" x14ac:dyDescent="0.25">
      <c r="B18" s="33" t="s">
        <v>33</v>
      </c>
      <c r="C18" s="33" t="s">
        <v>32</v>
      </c>
      <c r="D18" s="33" t="s">
        <v>30</v>
      </c>
      <c r="E18" s="33" t="s">
        <v>31</v>
      </c>
      <c r="J18" s="8">
        <v>-150</v>
      </c>
      <c r="K18" s="26">
        <f t="shared" ref="K18:K25" si="7">J18/10000</f>
        <v>-1.4999999999999999E-2</v>
      </c>
      <c r="L18" s="9">
        <f t="shared" ref="L18:L25" si="8">K18+$G$5</f>
        <v>3.7760000000000002E-2</v>
      </c>
      <c r="M18" s="60">
        <v>110.50218869486891</v>
      </c>
      <c r="N18" s="60">
        <f t="shared" ref="N18:N25" si="9">M18-$M$21</f>
        <v>23.807747265794134</v>
      </c>
      <c r="O18" s="60">
        <f t="shared" ref="O18:O25" si="10">-$C$35*K18*10000</f>
        <v>39.392425603151999</v>
      </c>
      <c r="P18" s="60">
        <f t="shared" ref="P18:P25" si="11">(-$M$21*$C$25*K18)+(0.5*$M$21*$C$30*(K18^2))</f>
        <v>54.176858650849354</v>
      </c>
      <c r="Q18" s="60">
        <f t="shared" ref="Q18:Q25" si="12">-($N18-O18)</f>
        <v>15.584678337357865</v>
      </c>
      <c r="R18" s="64">
        <f t="shared" ref="R18:R25" si="13">($N18-P18)</f>
        <v>-30.36911138505522</v>
      </c>
      <c r="T18" s="8">
        <v>-150</v>
      </c>
      <c r="U18" s="60">
        <v>23.807747265794134</v>
      </c>
      <c r="V18" s="60">
        <v>39.392425603151999</v>
      </c>
      <c r="W18" s="60">
        <v>54.176858650849354</v>
      </c>
      <c r="Y18" s="8">
        <v>-150</v>
      </c>
      <c r="Z18" s="60">
        <v>15.584678337357865</v>
      </c>
      <c r="AA18" s="64">
        <v>-30.36911138505522</v>
      </c>
    </row>
    <row r="19" spans="2:27" x14ac:dyDescent="0.25">
      <c r="B19" s="34" t="s">
        <v>34</v>
      </c>
      <c r="C19" s="29">
        <f>'10 Year Scenario'!F26</f>
        <v>16.317619585156205</v>
      </c>
      <c r="D19" s="29">
        <f>'10 Year Scenario'!Q26</f>
        <v>15.198949824421399</v>
      </c>
      <c r="E19" s="29">
        <f>'10 Year Scenario'!AB26</f>
        <v>17.259326487859518</v>
      </c>
      <c r="J19" s="8">
        <v>-100</v>
      </c>
      <c r="K19" s="26">
        <f t="shared" si="7"/>
        <v>-0.01</v>
      </c>
      <c r="L19" s="9">
        <f t="shared" si="8"/>
        <v>4.2759999999999999E-2</v>
      </c>
      <c r="M19" s="60">
        <v>101.6364644758026</v>
      </c>
      <c r="N19" s="60">
        <f t="shared" si="9"/>
        <v>14.942023046727826</v>
      </c>
      <c r="O19" s="60">
        <f t="shared" si="10"/>
        <v>26.261617068767993</v>
      </c>
      <c r="P19" s="60">
        <f t="shared" si="11"/>
        <v>32.851844596004135</v>
      </c>
      <c r="Q19" s="60">
        <f t="shared" si="12"/>
        <v>11.319594022040167</v>
      </c>
      <c r="R19" s="64">
        <f t="shared" si="13"/>
        <v>-17.909821549276309</v>
      </c>
      <c r="T19" s="8">
        <v>-100</v>
      </c>
      <c r="U19" s="60">
        <v>14.942023046727826</v>
      </c>
      <c r="V19" s="60">
        <v>26.261617068767993</v>
      </c>
      <c r="W19" s="60">
        <v>32.851844596004135</v>
      </c>
      <c r="Y19" s="8">
        <v>-100</v>
      </c>
      <c r="Z19" s="60">
        <v>11.319594022040167</v>
      </c>
      <c r="AA19" s="64">
        <v>-17.909821549276309</v>
      </c>
    </row>
    <row r="20" spans="2:27" x14ac:dyDescent="0.25">
      <c r="B20" s="35" t="s">
        <v>35</v>
      </c>
      <c r="C20" s="32">
        <f>'30 Year Scenario'!F66</f>
        <v>31.960931223384222</v>
      </c>
      <c r="D20" s="32">
        <f>'30 Year Scenario'!Q66</f>
        <v>21.130289497519371</v>
      </c>
      <c r="E20" s="32">
        <f>'30 Year Scenario'!AB66</f>
        <v>45.80724431450173</v>
      </c>
      <c r="J20" s="8">
        <v>-50</v>
      </c>
      <c r="K20" s="26">
        <f t="shared" si="7"/>
        <v>-5.0000000000000001E-3</v>
      </c>
      <c r="L20" s="9">
        <f t="shared" si="8"/>
        <v>4.7760000000000004E-2</v>
      </c>
      <c r="M20" s="60">
        <v>93.740016576078588</v>
      </c>
      <c r="N20" s="60">
        <f t="shared" si="9"/>
        <v>7.0455751470038166</v>
      </c>
      <c r="O20" s="60">
        <f t="shared" si="10"/>
        <v>13.130808534383997</v>
      </c>
      <c r="P20" s="60">
        <f t="shared" si="11"/>
        <v>14.79289171238768</v>
      </c>
      <c r="Q20" s="60">
        <f t="shared" si="12"/>
        <v>6.08523338738018</v>
      </c>
      <c r="R20" s="64">
        <f t="shared" si="13"/>
        <v>-7.7473165653838638</v>
      </c>
      <c r="T20" s="8">
        <v>-50</v>
      </c>
      <c r="U20" s="60">
        <v>7.0455751470038166</v>
      </c>
      <c r="V20" s="60">
        <v>13.130808534383997</v>
      </c>
      <c r="W20" s="60">
        <v>14.79289171238768</v>
      </c>
      <c r="Y20" s="8">
        <v>-50</v>
      </c>
      <c r="Z20" s="60">
        <v>6.08523338738018</v>
      </c>
      <c r="AA20" s="64">
        <v>-7.7473165653838638</v>
      </c>
    </row>
    <row r="21" spans="2:27" x14ac:dyDescent="0.25">
      <c r="J21" s="44">
        <v>0</v>
      </c>
      <c r="K21" s="47">
        <f t="shared" si="7"/>
        <v>0</v>
      </c>
      <c r="L21" s="51">
        <f t="shared" si="8"/>
        <v>5.2760000000000001E-2</v>
      </c>
      <c r="M21" s="62">
        <v>86.694441429074772</v>
      </c>
      <c r="N21" s="62">
        <f t="shared" si="9"/>
        <v>0</v>
      </c>
      <c r="O21" s="62">
        <f t="shared" si="10"/>
        <v>0</v>
      </c>
      <c r="P21" s="62">
        <f t="shared" si="11"/>
        <v>0</v>
      </c>
      <c r="Q21" s="62">
        <f t="shared" si="12"/>
        <v>0</v>
      </c>
      <c r="R21" s="64">
        <f t="shared" si="13"/>
        <v>0</v>
      </c>
      <c r="T21" s="44">
        <v>0</v>
      </c>
      <c r="U21" s="62">
        <v>0</v>
      </c>
      <c r="V21" s="62">
        <v>0</v>
      </c>
      <c r="W21" s="62">
        <v>0</v>
      </c>
      <c r="Y21" s="44">
        <v>0</v>
      </c>
      <c r="Z21" s="62">
        <v>0</v>
      </c>
      <c r="AA21" s="66">
        <v>0</v>
      </c>
    </row>
    <row r="22" spans="2:27" x14ac:dyDescent="0.25">
      <c r="B22" s="68" t="s">
        <v>19</v>
      </c>
      <c r="C22" s="68"/>
      <c r="D22" s="68"/>
      <c r="E22" s="68"/>
      <c r="J22" s="8">
        <v>50</v>
      </c>
      <c r="K22" s="26">
        <f t="shared" si="7"/>
        <v>5.0000000000000001E-3</v>
      </c>
      <c r="L22" s="9">
        <f t="shared" si="8"/>
        <v>5.7759999999999999E-2</v>
      </c>
      <c r="M22" s="60">
        <v>80.396643882212373</v>
      </c>
      <c r="N22" s="60">
        <f t="shared" si="9"/>
        <v>-6.2977975468623981</v>
      </c>
      <c r="O22" s="60">
        <f t="shared" si="10"/>
        <v>-13.130808534383997</v>
      </c>
      <c r="P22" s="60">
        <f t="shared" si="11"/>
        <v>-11.526830541158906</v>
      </c>
      <c r="Q22" s="60">
        <f t="shared" si="12"/>
        <v>-6.8330109875215985</v>
      </c>
      <c r="R22" s="64">
        <f t="shared" si="13"/>
        <v>5.2290329942965084</v>
      </c>
      <c r="T22" s="8">
        <v>50</v>
      </c>
      <c r="U22" s="60">
        <v>-6.2977975468623981</v>
      </c>
      <c r="V22" s="60">
        <v>-13.130808534383997</v>
      </c>
      <c r="W22" s="60">
        <v>-11.526830541158906</v>
      </c>
      <c r="Y22" s="8">
        <v>50</v>
      </c>
      <c r="Z22" s="60">
        <v>-6.8330109875215985</v>
      </c>
      <c r="AA22" s="64">
        <v>5.2290329942965084</v>
      </c>
    </row>
    <row r="23" spans="2:27" x14ac:dyDescent="0.25">
      <c r="B23" s="33" t="s">
        <v>33</v>
      </c>
      <c r="C23" s="33" t="s">
        <v>32</v>
      </c>
      <c r="D23" s="33" t="s">
        <v>30</v>
      </c>
      <c r="E23" s="33" t="s">
        <v>31</v>
      </c>
      <c r="J23" s="8">
        <v>100</v>
      </c>
      <c r="K23" s="26">
        <f t="shared" si="7"/>
        <v>0.01</v>
      </c>
      <c r="L23" s="9">
        <f t="shared" si="8"/>
        <v>6.2759999999999996E-2</v>
      </c>
      <c r="M23" s="60">
        <v>74.756785068652903</v>
      </c>
      <c r="N23" s="60">
        <f t="shared" si="9"/>
        <v>-11.937656360421869</v>
      </c>
      <c r="O23" s="60">
        <f t="shared" si="10"/>
        <v>-26.261617068767993</v>
      </c>
      <c r="P23" s="60">
        <f t="shared" si="11"/>
        <v>-19.787599911089039</v>
      </c>
      <c r="Q23" s="60">
        <f t="shared" si="12"/>
        <v>-14.323960708346124</v>
      </c>
      <c r="R23" s="64">
        <f t="shared" si="13"/>
        <v>7.8499435506671702</v>
      </c>
      <c r="T23" s="8">
        <v>100</v>
      </c>
      <c r="U23" s="60">
        <v>-11.937656360421869</v>
      </c>
      <c r="V23" s="60">
        <v>-26.261617068767993</v>
      </c>
      <c r="W23" s="60">
        <v>-19.787599911089039</v>
      </c>
      <c r="Y23" s="8">
        <v>100</v>
      </c>
      <c r="Z23" s="60">
        <v>-14.323960708346124</v>
      </c>
      <c r="AA23" s="64">
        <v>7.8499435506671702</v>
      </c>
    </row>
    <row r="24" spans="2:27" x14ac:dyDescent="0.25">
      <c r="B24" s="34" t="s">
        <v>34</v>
      </c>
      <c r="C24" s="29">
        <f>'10 Year Scenario'!F27</f>
        <v>15.610465498092612</v>
      </c>
      <c r="D24" s="29">
        <f>'10 Year Scenario'!Q27</f>
        <v>14.540275351020187</v>
      </c>
      <c r="E24" s="29">
        <f>'10 Year Scenario'!AB26</f>
        <v>17.259326487859518</v>
      </c>
      <c r="J24" s="8">
        <v>150</v>
      </c>
      <c r="K24" s="26">
        <f t="shared" si="7"/>
        <v>1.4999999999999999E-2</v>
      </c>
      <c r="L24" s="9">
        <f t="shared" si="8"/>
        <v>6.7760000000000001E-2</v>
      </c>
      <c r="M24" s="60">
        <v>69.696512808119323</v>
      </c>
      <c r="N24" s="60">
        <f t="shared" si="9"/>
        <v>-16.997928620955449</v>
      </c>
      <c r="O24" s="60">
        <f t="shared" si="10"/>
        <v>-39.392425603151999</v>
      </c>
      <c r="P24" s="60">
        <f t="shared" si="11"/>
        <v>-24.782308109790403</v>
      </c>
      <c r="Q24" s="60">
        <f t="shared" si="12"/>
        <v>-22.39449698219655</v>
      </c>
      <c r="R24" s="64">
        <f t="shared" si="13"/>
        <v>7.7843794888349542</v>
      </c>
      <c r="T24" s="8">
        <v>150</v>
      </c>
      <c r="U24" s="60">
        <v>-16.997928620955449</v>
      </c>
      <c r="V24" s="60">
        <v>-39.392425603151999</v>
      </c>
      <c r="W24" s="60">
        <v>-24.782308109790403</v>
      </c>
      <c r="Y24" s="8">
        <v>150</v>
      </c>
      <c r="Z24" s="60">
        <v>-22.39449698219655</v>
      </c>
      <c r="AA24" s="64">
        <v>7.7843794888349542</v>
      </c>
    </row>
    <row r="25" spans="2:27" x14ac:dyDescent="0.25">
      <c r="B25" s="35" t="s">
        <v>35</v>
      </c>
      <c r="C25" s="32">
        <f>'30 Year Scenario'!F67</f>
        <v>30.35918084215227</v>
      </c>
      <c r="D25" s="32">
        <f>'30 Year Scenario'!Q67</f>
        <v>20.071326320832263</v>
      </c>
      <c r="E25" s="32">
        <f>'30 Year Scenario'!AB67</f>
        <v>43.511573686786861</v>
      </c>
      <c r="J25" s="20">
        <v>200</v>
      </c>
      <c r="K25" s="27">
        <f t="shared" si="7"/>
        <v>0.02</v>
      </c>
      <c r="L25" s="58">
        <f t="shared" si="8"/>
        <v>7.2760000000000005E-2</v>
      </c>
      <c r="M25" s="61">
        <v>65.147434787723711</v>
      </c>
      <c r="N25" s="61">
        <f t="shared" si="9"/>
        <v>-21.547006641351061</v>
      </c>
      <c r="O25" s="61">
        <f t="shared" si="10"/>
        <v>-52.523234137535987</v>
      </c>
      <c r="P25" s="61">
        <f t="shared" si="11"/>
        <v>-26.510955137262989</v>
      </c>
      <c r="Q25" s="61">
        <f t="shared" si="12"/>
        <v>-30.976227496184926</v>
      </c>
      <c r="R25" s="65">
        <f t="shared" si="13"/>
        <v>4.9639484959119287</v>
      </c>
      <c r="T25" s="20">
        <v>200</v>
      </c>
      <c r="U25" s="61">
        <v>-21.547006641351061</v>
      </c>
      <c r="V25" s="61">
        <v>-52.523234137535987</v>
      </c>
      <c r="W25" s="61">
        <v>-26.510955137262989</v>
      </c>
      <c r="Y25" s="20">
        <v>200</v>
      </c>
      <c r="Z25" s="61">
        <v>-30.976227496184926</v>
      </c>
      <c r="AA25" s="65">
        <v>4.9639484959119287</v>
      </c>
    </row>
    <row r="27" spans="2:27" x14ac:dyDescent="0.25">
      <c r="B27" s="68" t="s">
        <v>20</v>
      </c>
      <c r="C27" s="68"/>
      <c r="D27" s="68"/>
      <c r="E27" s="68"/>
    </row>
    <row r="28" spans="2:27" x14ac:dyDescent="0.25">
      <c r="B28" s="33" t="s">
        <v>33</v>
      </c>
      <c r="C28" s="33" t="s">
        <v>32</v>
      </c>
      <c r="D28" s="33" t="s">
        <v>30</v>
      </c>
      <c r="E28" s="33" t="s">
        <v>31</v>
      </c>
    </row>
    <row r="29" spans="2:27" x14ac:dyDescent="0.25">
      <c r="B29" s="34" t="s">
        <v>34</v>
      </c>
      <c r="C29" s="29">
        <f>'10 Year Scenario'!F28</f>
        <v>318.57323856990587</v>
      </c>
      <c r="D29" s="29">
        <f>'10 Year Scenario'!Q28</f>
        <v>289.39741180909579</v>
      </c>
      <c r="E29" s="29">
        <f>'10 Year Scenario'!AB28</f>
        <v>343.44449843424343</v>
      </c>
    </row>
    <row r="30" spans="2:27" x14ac:dyDescent="0.25">
      <c r="B30" s="35" t="s">
        <v>35</v>
      </c>
      <c r="C30" s="32">
        <f>'30 Year Scenario'!F68</f>
        <v>1506.9299103337585</v>
      </c>
      <c r="D30" s="32">
        <f>'30 Year Scenario'!Q68</f>
        <v>767.64578979537964</v>
      </c>
      <c r="E30" s="32">
        <f>'30 Year Scenario'!AB68</f>
        <v>2515.8499258736479</v>
      </c>
    </row>
    <row r="32" spans="2:27" x14ac:dyDescent="0.25">
      <c r="B32" s="68" t="s">
        <v>36</v>
      </c>
      <c r="C32" s="68"/>
      <c r="D32" s="68"/>
      <c r="E32" s="68"/>
    </row>
    <row r="33" spans="2:5" x14ac:dyDescent="0.25">
      <c r="B33" s="33" t="s">
        <v>33</v>
      </c>
      <c r="C33" s="33" t="s">
        <v>32</v>
      </c>
      <c r="D33" s="33" t="s">
        <v>30</v>
      </c>
      <c r="E33" s="33" t="s">
        <v>31</v>
      </c>
    </row>
    <row r="34" spans="2:5" x14ac:dyDescent="0.25">
      <c r="B34" s="34" t="s">
        <v>34</v>
      </c>
      <c r="C34" s="23">
        <f>'10 Year Scenario'!F29</f>
        <v>0.15573138830064392</v>
      </c>
      <c r="D34" s="23">
        <f>'10 Year Scenario'!Q29</f>
        <v>0.1043026717617237</v>
      </c>
      <c r="E34" s="23">
        <f>'10 Year Scenario'!AB29</f>
        <v>0.23804087095039494</v>
      </c>
    </row>
    <row r="35" spans="2:5" x14ac:dyDescent="0.25">
      <c r="B35" s="35" t="s">
        <v>35</v>
      </c>
      <c r="C35" s="42">
        <f>'30 Year Scenario'!F69</f>
        <v>0.26261617068767995</v>
      </c>
      <c r="D35" s="42">
        <f>'30 Year Scenario'!Q69</f>
        <v>0.10843704972508952</v>
      </c>
      <c r="E35" s="42">
        <f>'30 Year Scenario'!AB69</f>
        <v>0.92165470624439794</v>
      </c>
    </row>
  </sheetData>
  <mergeCells count="8">
    <mergeCell ref="B17:E17"/>
    <mergeCell ref="B22:E22"/>
    <mergeCell ref="B27:E27"/>
    <mergeCell ref="B32:E32"/>
    <mergeCell ref="J2:R2"/>
    <mergeCell ref="J15:R15"/>
    <mergeCell ref="B2:C2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AF78-8973-41DD-AAD0-8968523B1D0F}">
  <dimension ref="B2:R39"/>
  <sheetViews>
    <sheetView topLeftCell="G1" workbookViewId="0">
      <selection activeCell="K31" sqref="K31"/>
    </sheetView>
  </sheetViews>
  <sheetFormatPr defaultRowHeight="13.8" x14ac:dyDescent="0.25"/>
  <cols>
    <col min="2" max="2" width="27.109375" bestFit="1" customWidth="1"/>
    <col min="3" max="3" width="10.109375" bestFit="1" customWidth="1"/>
    <col min="5" max="5" width="10.33203125" customWidth="1"/>
    <col min="6" max="6" width="22.21875" bestFit="1" customWidth="1"/>
    <col min="7" max="7" width="7.109375" bestFit="1" customWidth="1"/>
    <col min="8" max="8" width="10.77734375" bestFit="1" customWidth="1"/>
    <col min="9" max="9" width="9.5546875" bestFit="1" customWidth="1"/>
    <col min="10" max="10" width="21.33203125" bestFit="1" customWidth="1"/>
    <col min="11" max="11" width="13.6640625" bestFit="1" customWidth="1"/>
    <col min="12" max="12" width="16" bestFit="1" customWidth="1"/>
    <col min="13" max="14" width="13.33203125" customWidth="1"/>
    <col min="15" max="15" width="6.21875" bestFit="1" customWidth="1"/>
    <col min="16" max="16" width="8.77734375" bestFit="1" customWidth="1"/>
    <col min="17" max="17" width="22.33203125" bestFit="1" customWidth="1"/>
    <col min="18" max="18" width="23.44140625" bestFit="1" customWidth="1"/>
  </cols>
  <sheetData>
    <row r="2" spans="2:18" x14ac:dyDescent="0.25">
      <c r="B2" s="72" t="s">
        <v>6</v>
      </c>
      <c r="C2" s="72"/>
      <c r="F2" s="16" t="s">
        <v>17</v>
      </c>
      <c r="G2" s="17" t="s">
        <v>10</v>
      </c>
      <c r="H2" s="17" t="s">
        <v>11</v>
      </c>
      <c r="I2" s="17" t="s">
        <v>12</v>
      </c>
      <c r="J2" s="17" t="s">
        <v>22</v>
      </c>
      <c r="K2" s="17" t="s">
        <v>13</v>
      </c>
      <c r="L2" s="17" t="s">
        <v>14</v>
      </c>
      <c r="M2" s="7"/>
      <c r="N2" s="7"/>
      <c r="O2" s="33" t="s">
        <v>23</v>
      </c>
      <c r="P2" s="33" t="s">
        <v>0</v>
      </c>
      <c r="Q2" s="33" t="s">
        <v>24</v>
      </c>
      <c r="R2" s="33" t="s">
        <v>25</v>
      </c>
    </row>
    <row r="3" spans="2:18" x14ac:dyDescent="0.25">
      <c r="B3" s="34" t="s">
        <v>0</v>
      </c>
      <c r="C3" s="21">
        <f>I24</f>
        <v>99.770470987948926</v>
      </c>
      <c r="F3" s="12">
        <f>C10</f>
        <v>45723</v>
      </c>
      <c r="G3" s="13"/>
      <c r="H3" s="13"/>
      <c r="I3" s="13"/>
      <c r="J3" s="13"/>
      <c r="K3" s="13"/>
      <c r="L3" s="13"/>
      <c r="O3" s="26">
        <v>0.01</v>
      </c>
      <c r="P3" s="21">
        <v>131.64412342420593</v>
      </c>
      <c r="Q3" s="21">
        <f t="shared" ref="Q3:Q17" si="0">$I$24*(1-$C$18*(O3-$C$5))</f>
        <v>152.54354090717109</v>
      </c>
      <c r="R3" s="21">
        <f t="shared" ref="R3:R17" si="1">$I$24*(1-$C$18*(O3-$C$5)+0.5*$C$19*((O3-$C$5)^2))</f>
        <v>170.71871642481011</v>
      </c>
    </row>
    <row r="4" spans="2:18" x14ac:dyDescent="0.25">
      <c r="B4" s="34" t="s">
        <v>8</v>
      </c>
      <c r="C4" s="21">
        <v>100</v>
      </c>
      <c r="D4" s="5"/>
      <c r="F4" s="12">
        <f>EDATE(F3,6)</f>
        <v>45907</v>
      </c>
      <c r="G4" s="13"/>
      <c r="H4" s="13"/>
      <c r="I4" s="13"/>
      <c r="J4" s="13"/>
      <c r="K4" s="13"/>
      <c r="L4" s="13"/>
      <c r="O4" s="26">
        <v>1.4999999999999999E-2</v>
      </c>
      <c r="P4" s="21">
        <v>126.47024476210393</v>
      </c>
      <c r="Q4" s="21">
        <f t="shared" si="0"/>
        <v>145.06860182512827</v>
      </c>
      <c r="R4" s="21">
        <f t="shared" si="1"/>
        <v>158.45964652574318</v>
      </c>
    </row>
    <row r="5" spans="2:18" x14ac:dyDescent="0.25">
      <c r="B5" s="34" t="s">
        <v>1</v>
      </c>
      <c r="C5" s="9">
        <v>4.53E-2</v>
      </c>
      <c r="F5" s="11">
        <f t="shared" ref="F5:F23" si="2">EDATE(F4,6)</f>
        <v>46088</v>
      </c>
      <c r="G5" s="14">
        <v>1</v>
      </c>
      <c r="H5" s="21">
        <f>$C$9</f>
        <v>2.25</v>
      </c>
      <c r="I5" s="21">
        <f>H5/(1+$C$6)^G5</f>
        <v>2.2001662347821833</v>
      </c>
      <c r="J5" s="36">
        <f>I5/$I$24</f>
        <v>2.2052278725314796E-2</v>
      </c>
      <c r="K5" s="29">
        <f>J5*G5</f>
        <v>2.2052278725314796E-2</v>
      </c>
      <c r="L5" s="29">
        <f>G5*(G5+1)*I5</f>
        <v>4.4003324695643666</v>
      </c>
      <c r="O5" s="26">
        <v>0.02</v>
      </c>
      <c r="P5" s="21">
        <v>121.53251061991642</v>
      </c>
      <c r="Q5" s="21">
        <f t="shared" si="0"/>
        <v>137.59366274308547</v>
      </c>
      <c r="R5" s="21">
        <f t="shared" si="1"/>
        <v>146.92986486097868</v>
      </c>
    </row>
    <row r="6" spans="2:18" x14ac:dyDescent="0.25">
      <c r="B6" s="34" t="s">
        <v>21</v>
      </c>
      <c r="C6" s="9">
        <f>C5/2</f>
        <v>2.265E-2</v>
      </c>
      <c r="F6" s="11">
        <f t="shared" si="2"/>
        <v>46272</v>
      </c>
      <c r="G6" s="14">
        <v>2</v>
      </c>
      <c r="H6" s="21">
        <f t="shared" ref="H6:H22" si="3">$C$9</f>
        <v>2.25</v>
      </c>
      <c r="I6" s="21">
        <f t="shared" ref="I6:I23" si="4">H6/(1+$C$6)^G6</f>
        <v>2.1514362047447153</v>
      </c>
      <c r="J6" s="36">
        <f t="shared" ref="J6:J23" si="5">I6/$I$24</f>
        <v>2.1563857356196935E-2</v>
      </c>
      <c r="K6" s="29">
        <f t="shared" ref="K6:K23" si="6">J6*G6</f>
        <v>4.3127714712393871E-2</v>
      </c>
      <c r="L6" s="29">
        <f t="shared" ref="L6:L22" si="7">G6*(G6+1)*I6</f>
        <v>12.908617228468291</v>
      </c>
      <c r="O6" s="26">
        <v>2.5000000000000001E-2</v>
      </c>
      <c r="P6" s="21">
        <v>116.81930758590345</v>
      </c>
      <c r="Q6" s="21">
        <f t="shared" si="0"/>
        <v>130.11872366104268</v>
      </c>
      <c r="R6" s="21">
        <f t="shared" si="1"/>
        <v>136.1293714305167</v>
      </c>
    </row>
    <row r="7" spans="2:18" x14ac:dyDescent="0.25">
      <c r="B7" s="34" t="s">
        <v>9</v>
      </c>
      <c r="C7" s="10">
        <v>4.4999999999999998E-2</v>
      </c>
      <c r="F7" s="11">
        <f t="shared" si="2"/>
        <v>46453</v>
      </c>
      <c r="G7" s="14">
        <v>3</v>
      </c>
      <c r="H7" s="21">
        <f t="shared" si="3"/>
        <v>2.25</v>
      </c>
      <c r="I7" s="21">
        <f t="shared" si="4"/>
        <v>2.1037854639854445</v>
      </c>
      <c r="J7" s="36">
        <f t="shared" si="5"/>
        <v>2.1086253709672841E-2</v>
      </c>
      <c r="K7" s="29">
        <f t="shared" si="6"/>
        <v>6.3258761129018515E-2</v>
      </c>
      <c r="L7" s="29">
        <f t="shared" si="7"/>
        <v>25.245425567825336</v>
      </c>
      <c r="O7" s="26">
        <v>0.03</v>
      </c>
      <c r="P7" s="21">
        <v>112.31962627514385</v>
      </c>
      <c r="Q7" s="21">
        <f t="shared" si="0"/>
        <v>122.64378457899987</v>
      </c>
      <c r="R7" s="21">
        <f t="shared" si="1"/>
        <v>126.05816623435715</v>
      </c>
    </row>
    <row r="8" spans="2:18" x14ac:dyDescent="0.25">
      <c r="B8" s="34" t="s">
        <v>2</v>
      </c>
      <c r="C8" s="21">
        <f>C4*C7</f>
        <v>4.5</v>
      </c>
      <c r="F8" s="11">
        <f t="shared" si="2"/>
        <v>46637</v>
      </c>
      <c r="G8" s="14">
        <v>4</v>
      </c>
      <c r="H8" s="21">
        <f t="shared" si="3"/>
        <v>2.25</v>
      </c>
      <c r="I8" s="21">
        <f t="shared" si="4"/>
        <v>2.0571901080383754</v>
      </c>
      <c r="J8" s="36">
        <f t="shared" si="5"/>
        <v>2.0619228191143441E-2</v>
      </c>
      <c r="K8" s="29">
        <f t="shared" si="6"/>
        <v>8.2476912764573765E-2</v>
      </c>
      <c r="L8" s="29">
        <f t="shared" si="7"/>
        <v>41.143802160767507</v>
      </c>
      <c r="O8" s="26">
        <v>3.5000000000000003E-2</v>
      </c>
      <c r="P8" s="21">
        <v>108.02302836379157</v>
      </c>
      <c r="Q8" s="21">
        <f t="shared" si="0"/>
        <v>115.16884549695708</v>
      </c>
      <c r="R8" s="21">
        <f t="shared" si="1"/>
        <v>116.71624927250004</v>
      </c>
    </row>
    <row r="9" spans="2:18" x14ac:dyDescent="0.25">
      <c r="B9" s="34" t="s">
        <v>26</v>
      </c>
      <c r="C9" s="21">
        <f>C8/2</f>
        <v>2.25</v>
      </c>
      <c r="F9" s="11">
        <f t="shared" si="2"/>
        <v>46819</v>
      </c>
      <c r="G9" s="14">
        <v>5</v>
      </c>
      <c r="H9" s="21">
        <f t="shared" si="3"/>
        <v>2.25</v>
      </c>
      <c r="I9" s="21">
        <f t="shared" si="4"/>
        <v>2.0116267618817534</v>
      </c>
      <c r="J9" s="36">
        <f t="shared" si="5"/>
        <v>2.0162546512632318E-2</v>
      </c>
      <c r="K9" s="29">
        <f t="shared" si="6"/>
        <v>0.10081273256316159</v>
      </c>
      <c r="L9" s="29">
        <f t="shared" si="7"/>
        <v>60.3488028564526</v>
      </c>
      <c r="O9" s="26">
        <v>0.04</v>
      </c>
      <c r="P9" s="21">
        <v>103.91961550287229</v>
      </c>
      <c r="Q9" s="21">
        <f t="shared" si="0"/>
        <v>107.69390641491428</v>
      </c>
      <c r="R9" s="21">
        <f t="shared" si="1"/>
        <v>108.10362054494541</v>
      </c>
    </row>
    <row r="10" spans="2:18" x14ac:dyDescent="0.25">
      <c r="B10" s="34" t="s">
        <v>4</v>
      </c>
      <c r="C10" s="11">
        <v>45723</v>
      </c>
      <c r="F10" s="11">
        <f t="shared" si="2"/>
        <v>47003</v>
      </c>
      <c r="G10" s="14">
        <v>6</v>
      </c>
      <c r="H10" s="21">
        <f t="shared" si="3"/>
        <v>2.25</v>
      </c>
      <c r="I10" s="21">
        <f t="shared" si="4"/>
        <v>1.9670725682117571</v>
      </c>
      <c r="J10" s="36">
        <f t="shared" si="5"/>
        <v>1.971597957525284E-2</v>
      </c>
      <c r="K10" s="29">
        <f t="shared" si="6"/>
        <v>0.11829587745151704</v>
      </c>
      <c r="L10" s="29">
        <f t="shared" si="7"/>
        <v>82.617047864893806</v>
      </c>
      <c r="O10" s="26">
        <v>4.4999999999999998E-2</v>
      </c>
      <c r="P10" s="21">
        <v>100.00000000000009</v>
      </c>
      <c r="Q10" s="21">
        <f t="shared" si="0"/>
        <v>100.2189673328715</v>
      </c>
      <c r="R10" s="21">
        <f t="shared" si="1"/>
        <v>100.22028005169325</v>
      </c>
    </row>
    <row r="11" spans="2:18" x14ac:dyDescent="0.25">
      <c r="B11" s="34" t="s">
        <v>15</v>
      </c>
      <c r="C11" s="11">
        <f>EDATE(C10,6)</f>
        <v>45907</v>
      </c>
      <c r="F11" s="11">
        <f t="shared" si="2"/>
        <v>47184</v>
      </c>
      <c r="G11" s="14">
        <v>7</v>
      </c>
      <c r="H11" s="21">
        <f t="shared" si="3"/>
        <v>2.25</v>
      </c>
      <c r="I11" s="21">
        <f t="shared" si="4"/>
        <v>1.9235051759759025</v>
      </c>
      <c r="J11" s="36">
        <f t="shared" si="5"/>
        <v>1.9279303354278431E-2</v>
      </c>
      <c r="K11" s="29">
        <f t="shared" si="6"/>
        <v>0.13495512347994901</v>
      </c>
      <c r="L11" s="29">
        <f t="shared" si="7"/>
        <v>107.71628985465054</v>
      </c>
      <c r="O11" s="26">
        <v>0.05</v>
      </c>
      <c r="P11" s="21">
        <v>96.255277164303081</v>
      </c>
      <c r="Q11" s="21">
        <f t="shared" si="0"/>
        <v>92.744028250828691</v>
      </c>
      <c r="R11" s="21">
        <f t="shared" si="1"/>
        <v>93.066227792743518</v>
      </c>
    </row>
    <row r="12" spans="2:18" x14ac:dyDescent="0.25">
      <c r="B12" s="34" t="s">
        <v>16</v>
      </c>
      <c r="C12" s="11">
        <f>EDATE(C11,6)</f>
        <v>46088</v>
      </c>
      <c r="F12" s="11">
        <f t="shared" si="2"/>
        <v>47368</v>
      </c>
      <c r="G12" s="14">
        <v>8</v>
      </c>
      <c r="H12" s="21">
        <f t="shared" si="3"/>
        <v>2.25</v>
      </c>
      <c r="I12" s="21">
        <f t="shared" si="4"/>
        <v>1.8809027291604188</v>
      </c>
      <c r="J12" s="36">
        <f t="shared" si="5"/>
        <v>1.8852298786758349E-2</v>
      </c>
      <c r="K12" s="29">
        <f t="shared" si="6"/>
        <v>0.1508183902940668</v>
      </c>
      <c r="L12" s="29">
        <f t="shared" si="7"/>
        <v>135.42499649955016</v>
      </c>
      <c r="O12" s="26">
        <v>5.5E-2</v>
      </c>
      <c r="P12" s="21">
        <v>92.676999216272719</v>
      </c>
      <c r="Q12" s="21">
        <f t="shared" si="0"/>
        <v>85.269089168785897</v>
      </c>
      <c r="R12" s="21">
        <f t="shared" si="1"/>
        <v>86.641463768096273</v>
      </c>
    </row>
    <row r="13" spans="2:18" x14ac:dyDescent="0.25">
      <c r="B13" s="34" t="s">
        <v>3</v>
      </c>
      <c r="C13" s="11">
        <f ca="1">TODAY()</f>
        <v>46006</v>
      </c>
      <c r="F13" s="11">
        <f t="shared" si="2"/>
        <v>47549</v>
      </c>
      <c r="G13" s="14">
        <v>9</v>
      </c>
      <c r="H13" s="21">
        <f t="shared" si="3"/>
        <v>2.25</v>
      </c>
      <c r="I13" s="21">
        <f t="shared" si="4"/>
        <v>1.8392438558259605</v>
      </c>
      <c r="J13" s="36">
        <f t="shared" si="5"/>
        <v>1.8434751661622596E-2</v>
      </c>
      <c r="K13" s="29">
        <f t="shared" si="6"/>
        <v>0.16591276495460336</v>
      </c>
      <c r="L13" s="29">
        <f t="shared" si="7"/>
        <v>165.53194702433643</v>
      </c>
      <c r="O13" s="26">
        <v>0.06</v>
      </c>
      <c r="P13" s="21">
        <v>89.257150670298145</v>
      </c>
      <c r="Q13" s="21">
        <f t="shared" si="0"/>
        <v>77.794150086743102</v>
      </c>
      <c r="R13" s="21">
        <f t="shared" si="1"/>
        <v>80.945987977751471</v>
      </c>
    </row>
    <row r="14" spans="2:18" x14ac:dyDescent="0.25">
      <c r="B14" s="35" t="s">
        <v>5</v>
      </c>
      <c r="C14" s="15">
        <v>49375</v>
      </c>
      <c r="F14" s="11">
        <f t="shared" si="2"/>
        <v>47733</v>
      </c>
      <c r="G14" s="14">
        <v>10</v>
      </c>
      <c r="H14" s="21">
        <f t="shared" si="3"/>
        <v>2.25</v>
      </c>
      <c r="I14" s="21">
        <f t="shared" si="4"/>
        <v>1.7985076573861638</v>
      </c>
      <c r="J14" s="36">
        <f t="shared" si="5"/>
        <v>1.8026452512220795E-2</v>
      </c>
      <c r="K14" s="29">
        <f t="shared" si="6"/>
        <v>0.18026452512220795</v>
      </c>
      <c r="L14" s="29">
        <f t="shared" si="7"/>
        <v>197.83584231247801</v>
      </c>
      <c r="O14" s="26">
        <v>6.5000000000000002E-2</v>
      </c>
      <c r="P14" s="21">
        <v>85.988125103290443</v>
      </c>
      <c r="Q14" s="21">
        <f t="shared" si="0"/>
        <v>70.319211004700307</v>
      </c>
      <c r="R14" s="21">
        <f t="shared" si="1"/>
        <v>75.979800421709129</v>
      </c>
    </row>
    <row r="15" spans="2:18" x14ac:dyDescent="0.25">
      <c r="F15" s="11">
        <f t="shared" si="2"/>
        <v>47914</v>
      </c>
      <c r="G15" s="14">
        <v>11</v>
      </c>
      <c r="H15" s="21">
        <f t="shared" si="3"/>
        <v>2.25</v>
      </c>
      <c r="I15" s="21">
        <f t="shared" si="4"/>
        <v>1.7586736981236626</v>
      </c>
      <c r="J15" s="36">
        <f t="shared" si="5"/>
        <v>1.7627196511241179E-2</v>
      </c>
      <c r="K15" s="29">
        <f t="shared" si="6"/>
        <v>0.19389916162365298</v>
      </c>
      <c r="L15" s="29">
        <f t="shared" si="7"/>
        <v>232.14492815232347</v>
      </c>
      <c r="O15" s="26">
        <v>7.0000000000000007E-2</v>
      </c>
      <c r="P15" s="21">
        <v>82.862703228099335</v>
      </c>
      <c r="Q15" s="21">
        <f t="shared" si="0"/>
        <v>62.844271922657491</v>
      </c>
      <c r="R15" s="21">
        <f t="shared" si="1"/>
        <v>71.742901099969245</v>
      </c>
    </row>
    <row r="16" spans="2:18" x14ac:dyDescent="0.25">
      <c r="F16" s="11">
        <f t="shared" si="2"/>
        <v>48098</v>
      </c>
      <c r="G16" s="14">
        <v>12</v>
      </c>
      <c r="H16" s="21">
        <f t="shared" si="3"/>
        <v>2.25</v>
      </c>
      <c r="I16" s="21">
        <f t="shared" si="4"/>
        <v>1.7197219949383098</v>
      </c>
      <c r="J16" s="36">
        <f t="shared" si="5"/>
        <v>1.7236783367956955E-2</v>
      </c>
      <c r="K16" s="29">
        <f t="shared" si="6"/>
        <v>0.20684140041548346</v>
      </c>
      <c r="L16" s="29">
        <f t="shared" si="7"/>
        <v>268.27663121037631</v>
      </c>
      <c r="O16" s="26">
        <v>7.4999999999999997E-2</v>
      </c>
      <c r="P16" s="21">
        <v>79.874032195372422</v>
      </c>
      <c r="Q16" s="21">
        <f t="shared" si="0"/>
        <v>55.369332840614724</v>
      </c>
      <c r="R16" s="21">
        <f t="shared" si="1"/>
        <v>68.235290012531848</v>
      </c>
    </row>
    <row r="17" spans="2:18" x14ac:dyDescent="0.25">
      <c r="B17" s="25" t="s">
        <v>18</v>
      </c>
      <c r="C17" s="31">
        <f>K24</f>
        <v>15.66305890929014</v>
      </c>
      <c r="F17" s="11">
        <f t="shared" si="2"/>
        <v>48280</v>
      </c>
      <c r="G17" s="14">
        <v>13</v>
      </c>
      <c r="H17" s="21">
        <f t="shared" si="3"/>
        <v>2.25</v>
      </c>
      <c r="I17" s="21">
        <f t="shared" si="4"/>
        <v>1.6816330073224559</v>
      </c>
      <c r="J17" s="36">
        <f t="shared" si="5"/>
        <v>1.6855017227748448E-2</v>
      </c>
      <c r="K17" s="29">
        <f t="shared" si="6"/>
        <v>0.21911522396072983</v>
      </c>
      <c r="L17" s="29">
        <f t="shared" si="7"/>
        <v>306.05720733268697</v>
      </c>
      <c r="O17" s="27">
        <v>0.08</v>
      </c>
      <c r="P17" s="28">
        <v>77.015606052158745</v>
      </c>
      <c r="Q17" s="28">
        <f t="shared" si="0"/>
        <v>47.894393758571915</v>
      </c>
      <c r="R17" s="28">
        <f t="shared" si="1"/>
        <v>65.456967159396882</v>
      </c>
    </row>
    <row r="18" spans="2:18" x14ac:dyDescent="0.25">
      <c r="B18" s="34" t="s">
        <v>19</v>
      </c>
      <c r="C18" s="29">
        <f>C17/(1+C5)</f>
        <v>14.984271414225717</v>
      </c>
      <c r="F18" s="11">
        <f t="shared" si="2"/>
        <v>48464</v>
      </c>
      <c r="G18" s="14">
        <v>14</v>
      </c>
      <c r="H18" s="21">
        <f t="shared" si="3"/>
        <v>2.25</v>
      </c>
      <c r="I18" s="21">
        <f t="shared" si="4"/>
        <v>1.6443876275582614</v>
      </c>
      <c r="J18" s="36">
        <f t="shared" si="5"/>
        <v>1.648170657385073E-2</v>
      </c>
      <c r="K18" s="29">
        <f t="shared" si="6"/>
        <v>0.23074389203391021</v>
      </c>
      <c r="L18" s="29">
        <f t="shared" si="7"/>
        <v>345.32140178723489</v>
      </c>
    </row>
    <row r="19" spans="2:18" x14ac:dyDescent="0.25">
      <c r="B19" s="35" t="s">
        <v>20</v>
      </c>
      <c r="C19" s="32">
        <f>L24/I24</f>
        <v>292.38640534855199</v>
      </c>
      <c r="F19" s="11">
        <f t="shared" si="2"/>
        <v>48645</v>
      </c>
      <c r="G19" s="14">
        <v>15</v>
      </c>
      <c r="H19" s="21">
        <f t="shared" si="3"/>
        <v>2.25</v>
      </c>
      <c r="I19" s="21">
        <f t="shared" si="4"/>
        <v>1.6079671711321184</v>
      </c>
      <c r="J19" s="36">
        <f t="shared" si="5"/>
        <v>1.6116664131277294E-2</v>
      </c>
      <c r="K19" s="29">
        <f t="shared" si="6"/>
        <v>0.2417499619691594</v>
      </c>
      <c r="L19" s="29">
        <f t="shared" si="7"/>
        <v>385.91212107170844</v>
      </c>
    </row>
    <row r="20" spans="2:18" x14ac:dyDescent="0.25">
      <c r="F20" s="11">
        <f t="shared" si="2"/>
        <v>48829</v>
      </c>
      <c r="G20" s="14">
        <v>16</v>
      </c>
      <c r="H20" s="21">
        <f t="shared" si="3"/>
        <v>2.25</v>
      </c>
      <c r="I20" s="21">
        <f t="shared" si="4"/>
        <v>1.572353367361383</v>
      </c>
      <c r="J20" s="36">
        <f t="shared" si="5"/>
        <v>1.5759706772871748E-2</v>
      </c>
      <c r="K20" s="29">
        <f t="shared" si="6"/>
        <v>0.25215530836594796</v>
      </c>
      <c r="L20" s="29">
        <f t="shared" si="7"/>
        <v>427.68011592229618</v>
      </c>
    </row>
    <row r="21" spans="2:18" x14ac:dyDescent="0.25">
      <c r="F21" s="11">
        <f t="shared" si="2"/>
        <v>49010</v>
      </c>
      <c r="G21" s="14">
        <v>17</v>
      </c>
      <c r="H21" s="21">
        <f t="shared" si="3"/>
        <v>2.25</v>
      </c>
      <c r="I21" s="21">
        <f t="shared" si="4"/>
        <v>1.5375283502287027</v>
      </c>
      <c r="J21" s="36">
        <f t="shared" si="5"/>
        <v>1.5410655427440226E-2</v>
      </c>
      <c r="K21" s="29">
        <f t="shared" si="6"/>
        <v>0.26198114226648384</v>
      </c>
      <c r="L21" s="29">
        <f t="shared" si="7"/>
        <v>470.48367516998303</v>
      </c>
    </row>
    <row r="22" spans="2:18" x14ac:dyDescent="0.25">
      <c r="F22" s="11">
        <f>EDATE(F21,6)</f>
        <v>49194</v>
      </c>
      <c r="G22" s="14">
        <v>18</v>
      </c>
      <c r="H22" s="21">
        <f t="shared" si="3"/>
        <v>2.25</v>
      </c>
      <c r="I22" s="21">
        <f t="shared" si="4"/>
        <v>1.5034746494193543</v>
      </c>
      <c r="J22" s="36">
        <f t="shared" si="5"/>
        <v>1.5069334989918569E-2</v>
      </c>
      <c r="K22" s="29">
        <f t="shared" si="6"/>
        <v>0.27124802981853424</v>
      </c>
      <c r="L22" s="29">
        <f t="shared" si="7"/>
        <v>514.18833010141918</v>
      </c>
    </row>
    <row r="23" spans="2:18" x14ac:dyDescent="0.25">
      <c r="F23" s="11">
        <f t="shared" si="2"/>
        <v>49375</v>
      </c>
      <c r="G23" s="14">
        <v>19</v>
      </c>
      <c r="H23" s="21">
        <f>$C$9+C4</f>
        <v>102.25</v>
      </c>
      <c r="I23" s="21">
        <f t="shared" si="4"/>
        <v>66.811294361872015</v>
      </c>
      <c r="J23" s="36">
        <f t="shared" si="5"/>
        <v>0.66964998461260161</v>
      </c>
      <c r="K23" s="29">
        <f t="shared" si="6"/>
        <v>12.72334970763943</v>
      </c>
      <c r="L23" s="29">
        <f>G23*(G23+1)*I23</f>
        <v>25388.291857511365</v>
      </c>
    </row>
    <row r="24" spans="2:18" x14ac:dyDescent="0.25">
      <c r="F24" s="18"/>
      <c r="G24" s="18"/>
      <c r="H24" s="22"/>
      <c r="I24" s="22">
        <f>SUM(I5:I23)</f>
        <v>99.770470987948926</v>
      </c>
      <c r="J24" s="30"/>
      <c r="K24" s="30">
        <f>SUM(K5:K23)</f>
        <v>15.66305890929014</v>
      </c>
      <c r="L24" s="30">
        <f>SUM(L5:L23)</f>
        <v>29171.529372098379</v>
      </c>
      <c r="M24" s="6"/>
      <c r="N24" s="6"/>
    </row>
    <row r="30" spans="2:18" x14ac:dyDescent="0.25">
      <c r="H30" s="55"/>
    </row>
    <row r="31" spans="2:18" x14ac:dyDescent="0.25">
      <c r="G31" s="4"/>
    </row>
    <row r="32" spans="2:18" x14ac:dyDescent="0.25">
      <c r="G32" s="4"/>
    </row>
    <row r="33" spans="7:7" x14ac:dyDescent="0.25">
      <c r="G33" s="4"/>
    </row>
    <row r="34" spans="7:7" x14ac:dyDescent="0.25">
      <c r="G34" s="4"/>
    </row>
    <row r="35" spans="7:7" x14ac:dyDescent="0.25">
      <c r="G35" s="4"/>
    </row>
    <row r="36" spans="7:7" x14ac:dyDescent="0.25">
      <c r="G36" s="4"/>
    </row>
    <row r="37" spans="7:7" x14ac:dyDescent="0.25">
      <c r="G37" s="4"/>
    </row>
    <row r="38" spans="7:7" x14ac:dyDescent="0.25">
      <c r="G38" s="4"/>
    </row>
    <row r="39" spans="7:7" x14ac:dyDescent="0.25">
      <c r="G39" s="4"/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6C84-5A67-4B44-80E5-66B2BC48B8FA}">
  <dimension ref="B2:AI29"/>
  <sheetViews>
    <sheetView workbookViewId="0">
      <selection activeCell="C4" sqref="A1:XFD1048576"/>
    </sheetView>
  </sheetViews>
  <sheetFormatPr defaultRowHeight="13.8" x14ac:dyDescent="0.25"/>
  <cols>
    <col min="2" max="2" width="27.109375" bestFit="1" customWidth="1"/>
    <col min="3" max="3" width="10.109375" bestFit="1" customWidth="1"/>
    <col min="5" max="5" width="19" bestFit="1" customWidth="1"/>
    <col min="6" max="6" width="13.77734375" bestFit="1" customWidth="1"/>
    <col min="7" max="7" width="10.77734375" bestFit="1" customWidth="1"/>
    <col min="8" max="8" width="9.5546875" bestFit="1" customWidth="1"/>
    <col min="9" max="9" width="14.21875" bestFit="1" customWidth="1"/>
    <col min="10" max="10" width="13.6640625" bestFit="1" customWidth="1"/>
    <col min="11" max="11" width="24.77734375" bestFit="1" customWidth="1"/>
    <col min="12" max="12" width="7.5546875" bestFit="1" customWidth="1"/>
    <col min="13" max="13" width="16" bestFit="1" customWidth="1"/>
    <col min="16" max="16" width="19" bestFit="1" customWidth="1"/>
    <col min="17" max="17" width="13.77734375" bestFit="1" customWidth="1"/>
    <col min="18" max="18" width="10.77734375" bestFit="1" customWidth="1"/>
    <col min="19" max="19" width="9.5546875" bestFit="1" customWidth="1"/>
    <col min="20" max="20" width="14.21875" bestFit="1" customWidth="1"/>
    <col min="21" max="21" width="13.6640625" bestFit="1" customWidth="1"/>
    <col min="22" max="22" width="24.77734375" bestFit="1" customWidth="1"/>
    <col min="23" max="23" width="8.21875" bestFit="1" customWidth="1"/>
    <col min="24" max="24" width="16" bestFit="1" customWidth="1"/>
    <col min="27" max="27" width="19" bestFit="1" customWidth="1"/>
    <col min="28" max="28" width="13.77734375" bestFit="1" customWidth="1"/>
    <col min="29" max="29" width="10.77734375" bestFit="1" customWidth="1"/>
    <col min="30" max="30" width="9.5546875" bestFit="1" customWidth="1"/>
    <col min="31" max="31" width="14.21875" bestFit="1" customWidth="1"/>
    <col min="32" max="32" width="13.6640625" bestFit="1" customWidth="1"/>
    <col min="33" max="33" width="24.77734375" bestFit="1" customWidth="1"/>
    <col min="34" max="34" width="7.77734375" bestFit="1" customWidth="1"/>
    <col min="35" max="35" width="16" bestFit="1" customWidth="1"/>
  </cols>
  <sheetData>
    <row r="2" spans="2:35" x14ac:dyDescent="0.25">
      <c r="P2" s="33" t="s">
        <v>30</v>
      </c>
      <c r="Q2" s="49">
        <v>2.5000000000000001E-3</v>
      </c>
      <c r="AA2" s="33" t="s">
        <v>31</v>
      </c>
      <c r="AB2" s="49">
        <v>2.5000000000000001E-3</v>
      </c>
    </row>
    <row r="3" spans="2:35" x14ac:dyDescent="0.25">
      <c r="B3" s="72" t="s">
        <v>6</v>
      </c>
      <c r="C3" s="72"/>
      <c r="E3" s="43" t="s">
        <v>10</v>
      </c>
      <c r="F3" s="43" t="s">
        <v>27</v>
      </c>
      <c r="G3" s="43" t="s">
        <v>11</v>
      </c>
      <c r="H3" s="43" t="s">
        <v>12</v>
      </c>
      <c r="I3" s="43" t="s">
        <v>29</v>
      </c>
      <c r="J3" s="43" t="s">
        <v>13</v>
      </c>
      <c r="K3" s="43" t="s">
        <v>28</v>
      </c>
      <c r="L3" s="43"/>
      <c r="M3" s="43" t="s">
        <v>14</v>
      </c>
      <c r="P3" s="43" t="s">
        <v>10</v>
      </c>
      <c r="Q3" s="43" t="s">
        <v>27</v>
      </c>
      <c r="R3" s="43" t="s">
        <v>11</v>
      </c>
      <c r="S3" s="43" t="s">
        <v>12</v>
      </c>
      <c r="T3" s="43" t="s">
        <v>29</v>
      </c>
      <c r="U3" s="43" t="s">
        <v>13</v>
      </c>
      <c r="V3" s="43" t="s">
        <v>28</v>
      </c>
      <c r="W3" s="43"/>
      <c r="X3" s="43" t="s">
        <v>14</v>
      </c>
      <c r="AA3" s="43" t="s">
        <v>10</v>
      </c>
      <c r="AB3" s="43" t="s">
        <v>27</v>
      </c>
      <c r="AC3" s="43" t="s">
        <v>11</v>
      </c>
      <c r="AD3" s="43" t="s">
        <v>12</v>
      </c>
      <c r="AE3" s="43" t="s">
        <v>29</v>
      </c>
      <c r="AF3" s="43" t="s">
        <v>13</v>
      </c>
      <c r="AG3" s="43" t="s">
        <v>28</v>
      </c>
      <c r="AH3" s="43"/>
      <c r="AI3" s="43" t="s">
        <v>14</v>
      </c>
    </row>
    <row r="4" spans="2:35" x14ac:dyDescent="0.25">
      <c r="B4" s="34" t="s">
        <v>0</v>
      </c>
      <c r="C4" s="21">
        <v>99.808999999999997</v>
      </c>
      <c r="E4" s="8">
        <v>1</v>
      </c>
      <c r="F4" s="36">
        <f>$C$7</f>
        <v>2.265E-2</v>
      </c>
      <c r="G4" s="21">
        <f t="shared" ref="G4:G22" si="0">$C$10</f>
        <v>2.25</v>
      </c>
      <c r="H4" s="21">
        <f>G4/(1+F4)^E4</f>
        <v>2.2001662347821833</v>
      </c>
      <c r="I4" s="26">
        <f t="shared" ref="I4:I23" si="1">H4/$H$24</f>
        <v>2.2054397300966967E-2</v>
      </c>
      <c r="J4" s="29">
        <f>I4*E4</f>
        <v>2.2054397300966967E-2</v>
      </c>
      <c r="K4" s="29">
        <f t="shared" ref="K4:K19" si="2">H4*(1+F4)^($E$19-E4)</f>
        <v>3.0786536672726421</v>
      </c>
      <c r="L4" s="8"/>
      <c r="M4" s="29">
        <f>E4*(E4+1)*H4</f>
        <v>4.4003324695643666</v>
      </c>
      <c r="P4" s="8">
        <v>1</v>
      </c>
      <c r="Q4" s="36">
        <f>$C$7</f>
        <v>2.265E-2</v>
      </c>
      <c r="R4" s="21">
        <f>$C$10</f>
        <v>2.25</v>
      </c>
      <c r="S4" s="21">
        <f>R4/(1+Q4)^P4</f>
        <v>2.2001662347821833</v>
      </c>
      <c r="T4" s="26">
        <f t="shared" ref="T4:T23" si="3">S4/$S$24</f>
        <v>3.0671335960437137E-2</v>
      </c>
      <c r="U4" s="29">
        <f>T4*P4</f>
        <v>3.0671335960437137E-2</v>
      </c>
      <c r="V4" s="29">
        <f t="shared" ref="V4:V18" si="4">S4*(1+Q4)^($P$18-P4)</f>
        <v>3.0104665988096038</v>
      </c>
      <c r="W4" s="8"/>
      <c r="X4" s="29">
        <f>P4*(P4+1)*S4</f>
        <v>4.4003324695643666</v>
      </c>
      <c r="AA4" s="8">
        <v>1</v>
      </c>
      <c r="AB4" s="36">
        <f>$C$7</f>
        <v>2.265E-2</v>
      </c>
      <c r="AC4" s="21">
        <f>$C$10</f>
        <v>2.25</v>
      </c>
      <c r="AD4" s="21">
        <f>AC4/(1+AB4)^AA4</f>
        <v>2.2001662347821833</v>
      </c>
      <c r="AE4" s="26">
        <f>AD4/$AD$24</f>
        <v>1.5261135860431953E-2</v>
      </c>
      <c r="AF4" s="29">
        <f>AE4*AA4</f>
        <v>1.5261135860431953E-2</v>
      </c>
      <c r="AG4" s="29">
        <f t="shared" ref="AG4:AG19" si="5">AD4*(1+AB4)^($P$18-AA4)</f>
        <v>3.0104665988096038</v>
      </c>
      <c r="AH4" s="8"/>
      <c r="AI4" s="29">
        <f>AA4*(AA4+1)*AD4</f>
        <v>4.4003324695643666</v>
      </c>
    </row>
    <row r="5" spans="2:35" x14ac:dyDescent="0.25">
      <c r="B5" s="34" t="s">
        <v>8</v>
      </c>
      <c r="C5" s="21">
        <v>100</v>
      </c>
      <c r="E5" s="8">
        <v>2</v>
      </c>
      <c r="F5" s="36">
        <f t="shared" ref="F5:F23" si="6">$C$7</f>
        <v>2.265E-2</v>
      </c>
      <c r="G5" s="21">
        <f t="shared" si="0"/>
        <v>2.25</v>
      </c>
      <c r="H5" s="21">
        <f t="shared" ref="H5:H23" si="7">G5/(1+F5)^E5</f>
        <v>2.1514362047447153</v>
      </c>
      <c r="I5" s="26">
        <f t="shared" si="1"/>
        <v>2.156592900891504E-2</v>
      </c>
      <c r="J5" s="29">
        <f t="shared" ref="J5:J23" si="8">I5*E5</f>
        <v>4.313185801783008E-2</v>
      </c>
      <c r="K5" s="29">
        <f t="shared" si="2"/>
        <v>2.9437897607290897</v>
      </c>
      <c r="L5" s="8"/>
      <c r="M5" s="29">
        <f t="shared" ref="M5:M23" si="9">E5*(E5+1)*H5</f>
        <v>12.908617228468291</v>
      </c>
      <c r="P5" s="8">
        <v>2</v>
      </c>
      <c r="Q5" s="36">
        <f t="shared" ref="Q5:Q23" si="10">Q4+$Q$2/2</f>
        <v>2.3900000000000001E-2</v>
      </c>
      <c r="R5" s="21">
        <f t="shared" ref="R5:R22" si="11">$C$10</f>
        <v>2.25</v>
      </c>
      <c r="S5" s="21">
        <f t="shared" ref="S5:S23" si="12">R5/(1+Q5)^P5</f>
        <v>2.1461863684715263</v>
      </c>
      <c r="T5" s="26">
        <f t="shared" si="3"/>
        <v>2.9918831632109625E-2</v>
      </c>
      <c r="U5" s="29">
        <f t="shared" ref="U5:U23" si="13">T5*P5</f>
        <v>5.983766326421925E-2</v>
      </c>
      <c r="V5" s="29">
        <f t="shared" si="4"/>
        <v>2.9175310791923472</v>
      </c>
      <c r="W5" s="8"/>
      <c r="X5" s="29">
        <f t="shared" ref="X5:X23" si="14">P5*(P5+1)*S5</f>
        <v>12.877118210829158</v>
      </c>
      <c r="AA5" s="8">
        <v>2</v>
      </c>
      <c r="AB5" s="36">
        <f>AB4-$Q$2/2</f>
        <v>2.1399999999999999E-2</v>
      </c>
      <c r="AC5" s="21">
        <f t="shared" ref="AC5:AC22" si="15">$C$10</f>
        <v>2.25</v>
      </c>
      <c r="AD5" s="21">
        <f t="shared" ref="AD5:AD23" si="16">AC5/(1+AB5)^AA5</f>
        <v>2.1567053272231917</v>
      </c>
      <c r="AE5" s="26">
        <f t="shared" ref="AE5:AE23" si="17">AD5/$AD$24</f>
        <v>1.4959675541484231E-2</v>
      </c>
      <c r="AF5" s="29">
        <f t="shared" ref="AF5:AF23" si="18">AE5*AA5</f>
        <v>2.9919351082968462E-2</v>
      </c>
      <c r="AG5" s="29">
        <f t="shared" si="5"/>
        <v>2.8401214171072384</v>
      </c>
      <c r="AH5" s="8"/>
      <c r="AI5" s="29">
        <f t="shared" ref="AI5:AI23" si="19">AA5*(AA5+1)*AD5</f>
        <v>12.940231963339151</v>
      </c>
    </row>
    <row r="6" spans="2:35" x14ac:dyDescent="0.25">
      <c r="B6" s="34" t="s">
        <v>1</v>
      </c>
      <c r="C6" s="9">
        <v>4.53E-2</v>
      </c>
      <c r="E6" s="8">
        <v>3</v>
      </c>
      <c r="F6" s="36">
        <f t="shared" si="6"/>
        <v>2.265E-2</v>
      </c>
      <c r="G6" s="21">
        <f t="shared" si="0"/>
        <v>2.25</v>
      </c>
      <c r="H6" s="21">
        <f t="shared" si="7"/>
        <v>2.1037854639854445</v>
      </c>
      <c r="I6" s="26">
        <f t="shared" si="1"/>
        <v>2.1088279478721984E-2</v>
      </c>
      <c r="J6" s="29">
        <f t="shared" si="8"/>
        <v>6.3264838436165954E-2</v>
      </c>
      <c r="K6" s="29">
        <f t="shared" si="2"/>
        <v>2.8148337201730427</v>
      </c>
      <c r="L6" s="8"/>
      <c r="M6" s="29">
        <f t="shared" si="9"/>
        <v>25.245425567825336</v>
      </c>
      <c r="P6" s="8">
        <v>3</v>
      </c>
      <c r="Q6" s="36">
        <f t="shared" si="10"/>
        <v>2.5150000000000002E-2</v>
      </c>
      <c r="R6" s="21">
        <f t="shared" si="11"/>
        <v>2.25</v>
      </c>
      <c r="S6" s="21">
        <f t="shared" si="12"/>
        <v>2.0884316679468484</v>
      </c>
      <c r="T6" s="26">
        <f t="shared" si="3"/>
        <v>2.9113704367140846E-2</v>
      </c>
      <c r="U6" s="29">
        <f t="shared" si="13"/>
        <v>8.7341113101422535E-2</v>
      </c>
      <c r="V6" s="29">
        <f t="shared" si="4"/>
        <v>2.8136447483031222</v>
      </c>
      <c r="W6" s="8"/>
      <c r="X6" s="29">
        <f t="shared" si="14"/>
        <v>25.061180015362183</v>
      </c>
      <c r="AA6" s="8">
        <v>3</v>
      </c>
      <c r="AB6" s="36">
        <f t="shared" ref="AB6:AB23" si="20">AB5-$Q$2/2</f>
        <v>2.0149999999999998E-2</v>
      </c>
      <c r="AC6" s="21">
        <f t="shared" si="15"/>
        <v>2.25</v>
      </c>
      <c r="AD6" s="21">
        <f t="shared" si="16"/>
        <v>2.119290134285317</v>
      </c>
      <c r="AE6" s="26">
        <f t="shared" si="17"/>
        <v>1.470015045031506E-2</v>
      </c>
      <c r="AF6" s="29">
        <f t="shared" si="18"/>
        <v>4.4100451350945181E-2</v>
      </c>
      <c r="AG6" s="29">
        <f t="shared" si="5"/>
        <v>2.6925192889681293</v>
      </c>
      <c r="AH6" s="8"/>
      <c r="AI6" s="29">
        <f t="shared" si="19"/>
        <v>25.431481611423806</v>
      </c>
    </row>
    <row r="7" spans="2:35" x14ac:dyDescent="0.25">
      <c r="B7" s="34" t="s">
        <v>21</v>
      </c>
      <c r="C7" s="9">
        <f>C6/2</f>
        <v>2.265E-2</v>
      </c>
      <c r="E7" s="8">
        <v>4</v>
      </c>
      <c r="F7" s="36">
        <f t="shared" si="6"/>
        <v>2.265E-2</v>
      </c>
      <c r="G7" s="21">
        <f t="shared" si="0"/>
        <v>2.25</v>
      </c>
      <c r="H7" s="21">
        <f t="shared" si="7"/>
        <v>2.0571901080383754</v>
      </c>
      <c r="I7" s="26">
        <f t="shared" si="1"/>
        <v>2.0621209092770727E-2</v>
      </c>
      <c r="J7" s="29">
        <f t="shared" si="8"/>
        <v>8.2484836371082906E-2</v>
      </c>
      <c r="K7" s="29">
        <f t="shared" si="2"/>
        <v>2.6915267448517954</v>
      </c>
      <c r="L7" s="8"/>
      <c r="M7" s="29">
        <f t="shared" si="9"/>
        <v>41.143802160767507</v>
      </c>
      <c r="P7" s="8">
        <v>4</v>
      </c>
      <c r="Q7" s="36">
        <f t="shared" si="10"/>
        <v>2.6400000000000003E-2</v>
      </c>
      <c r="R7" s="21">
        <f t="shared" si="11"/>
        <v>2.25</v>
      </c>
      <c r="S7" s="21">
        <f t="shared" si="12"/>
        <v>2.0272903104356819</v>
      </c>
      <c r="T7" s="26">
        <f t="shared" si="3"/>
        <v>2.8261365535803478E-2</v>
      </c>
      <c r="U7" s="29">
        <f t="shared" si="13"/>
        <v>0.11304546214321391</v>
      </c>
      <c r="V7" s="29">
        <f t="shared" si="4"/>
        <v>2.7002192041886501</v>
      </c>
      <c r="W7" s="8"/>
      <c r="X7" s="29">
        <f t="shared" si="14"/>
        <v>40.545806208713635</v>
      </c>
      <c r="AA7" s="8">
        <v>4</v>
      </c>
      <c r="AB7" s="36">
        <f t="shared" si="20"/>
        <v>1.8899999999999997E-2</v>
      </c>
      <c r="AC7" s="21">
        <f t="shared" si="15"/>
        <v>2.25</v>
      </c>
      <c r="AD7" s="21">
        <f t="shared" si="16"/>
        <v>2.0876431708386316</v>
      </c>
      <c r="AE7" s="26">
        <f t="shared" si="17"/>
        <v>1.4480635851329405E-2</v>
      </c>
      <c r="AF7" s="29">
        <f t="shared" si="18"/>
        <v>5.792254340531762E-2</v>
      </c>
      <c r="AG7" s="29">
        <f t="shared" si="5"/>
        <v>2.565094998022647</v>
      </c>
      <c r="AH7" s="8"/>
      <c r="AI7" s="29">
        <f t="shared" si="19"/>
        <v>41.752863416772634</v>
      </c>
    </row>
    <row r="8" spans="2:35" x14ac:dyDescent="0.25">
      <c r="B8" s="34" t="s">
        <v>9</v>
      </c>
      <c r="C8" s="10">
        <v>4.4999999999999998E-2</v>
      </c>
      <c r="E8" s="8">
        <v>5</v>
      </c>
      <c r="F8" s="36">
        <f t="shared" si="6"/>
        <v>2.265E-2</v>
      </c>
      <c r="G8" s="21">
        <f t="shared" si="0"/>
        <v>2.25</v>
      </c>
      <c r="H8" s="21">
        <f t="shared" si="7"/>
        <v>2.0116267618817534</v>
      </c>
      <c r="I8" s="26">
        <f t="shared" si="1"/>
        <v>2.016448354057666E-2</v>
      </c>
      <c r="J8" s="29">
        <f t="shared" si="8"/>
        <v>0.1008224177028833</v>
      </c>
      <c r="K8" s="29">
        <f t="shared" si="2"/>
        <v>2.5736213710723752</v>
      </c>
      <c r="L8" s="8"/>
      <c r="M8" s="29">
        <f t="shared" si="9"/>
        <v>60.3488028564526</v>
      </c>
      <c r="P8" s="8">
        <v>5</v>
      </c>
      <c r="Q8" s="36">
        <f t="shared" si="10"/>
        <v>2.7650000000000004E-2</v>
      </c>
      <c r="R8" s="21">
        <f t="shared" si="11"/>
        <v>2.25</v>
      </c>
      <c r="S8" s="21">
        <f t="shared" si="12"/>
        <v>1.9631631129324951</v>
      </c>
      <c r="T8" s="26">
        <f t="shared" si="3"/>
        <v>2.7367402712573322E-2</v>
      </c>
      <c r="U8" s="29">
        <f t="shared" si="13"/>
        <v>0.13683701356286662</v>
      </c>
      <c r="V8" s="29">
        <f t="shared" si="4"/>
        <v>2.5787464967380309</v>
      </c>
      <c r="W8" s="8"/>
      <c r="X8" s="29">
        <f t="shared" si="14"/>
        <v>58.894893387974854</v>
      </c>
      <c r="AA8" s="8">
        <v>5</v>
      </c>
      <c r="AB8" s="36">
        <f t="shared" si="20"/>
        <v>1.7649999999999996E-2</v>
      </c>
      <c r="AC8" s="21">
        <f t="shared" si="15"/>
        <v>2.25</v>
      </c>
      <c r="AD8" s="21">
        <f t="shared" si="16"/>
        <v>2.061533200658376</v>
      </c>
      <c r="AE8" s="26">
        <f t="shared" si="17"/>
        <v>1.4299527807794614E-2</v>
      </c>
      <c r="AF8" s="29">
        <f t="shared" si="18"/>
        <v>7.1497639038973063E-2</v>
      </c>
      <c r="AG8" s="29">
        <f t="shared" si="5"/>
        <v>2.4556965652472775</v>
      </c>
      <c r="AH8" s="8"/>
      <c r="AI8" s="29">
        <f t="shared" si="19"/>
        <v>61.845996019751283</v>
      </c>
    </row>
    <row r="9" spans="2:35" x14ac:dyDescent="0.25">
      <c r="B9" s="34" t="s">
        <v>2</v>
      </c>
      <c r="C9" s="21">
        <f>C5*C8</f>
        <v>4.5</v>
      </c>
      <c r="E9" s="8">
        <v>6</v>
      </c>
      <c r="F9" s="36">
        <f t="shared" si="6"/>
        <v>2.265E-2</v>
      </c>
      <c r="G9" s="21">
        <f t="shared" si="0"/>
        <v>2.25</v>
      </c>
      <c r="H9" s="21">
        <f t="shared" si="7"/>
        <v>1.9670725682117571</v>
      </c>
      <c r="I9" s="26">
        <f t="shared" si="1"/>
        <v>1.9717873701243498E-2</v>
      </c>
      <c r="J9" s="29">
        <f t="shared" si="8"/>
        <v>0.11830724220746099</v>
      </c>
      <c r="K9" s="29">
        <f t="shared" si="2"/>
        <v>2.4608809755688186</v>
      </c>
      <c r="L9" s="8"/>
      <c r="M9" s="29">
        <f t="shared" si="9"/>
        <v>82.617047864893806</v>
      </c>
      <c r="P9" s="8">
        <v>6</v>
      </c>
      <c r="Q9" s="36">
        <f t="shared" si="10"/>
        <v>2.8900000000000006E-2</v>
      </c>
      <c r="R9" s="21">
        <f t="shared" si="11"/>
        <v>2.25</v>
      </c>
      <c r="S9" s="21">
        <f t="shared" si="12"/>
        <v>1.8964592478233191</v>
      </c>
      <c r="T9" s="26">
        <f t="shared" si="3"/>
        <v>2.6437519949952994E-2</v>
      </c>
      <c r="U9" s="29">
        <f t="shared" si="13"/>
        <v>0.15862511969971796</v>
      </c>
      <c r="V9" s="29">
        <f t="shared" si="4"/>
        <v>2.4507669770302498</v>
      </c>
      <c r="W9" s="8"/>
      <c r="X9" s="29">
        <f t="shared" si="14"/>
        <v>79.651288408579404</v>
      </c>
      <c r="AA9" s="8">
        <v>6</v>
      </c>
      <c r="AB9" s="36">
        <f t="shared" si="20"/>
        <v>1.6399999999999994E-2</v>
      </c>
      <c r="AC9" s="21">
        <f t="shared" si="15"/>
        <v>2.25</v>
      </c>
      <c r="AD9" s="21">
        <f t="shared" si="16"/>
        <v>2.0407724362997834</v>
      </c>
      <c r="AE9" s="26">
        <f t="shared" si="17"/>
        <v>1.4155523759175869E-2</v>
      </c>
      <c r="AF9" s="29">
        <f t="shared" si="18"/>
        <v>8.4933142555055213E-2</v>
      </c>
      <c r="AG9" s="29">
        <f t="shared" si="5"/>
        <v>2.3625254046239998</v>
      </c>
      <c r="AH9" s="8"/>
      <c r="AI9" s="29">
        <f t="shared" si="19"/>
        <v>85.71244232459091</v>
      </c>
    </row>
    <row r="10" spans="2:35" x14ac:dyDescent="0.25">
      <c r="B10" s="34" t="s">
        <v>26</v>
      </c>
      <c r="C10" s="21">
        <f>C9/2</f>
        <v>2.25</v>
      </c>
      <c r="E10" s="8">
        <v>7</v>
      </c>
      <c r="F10" s="36">
        <f t="shared" si="6"/>
        <v>2.265E-2</v>
      </c>
      <c r="G10" s="21">
        <f t="shared" si="0"/>
        <v>2.25</v>
      </c>
      <c r="H10" s="21">
        <f t="shared" si="7"/>
        <v>1.9235051759759025</v>
      </c>
      <c r="I10" s="26">
        <f t="shared" si="1"/>
        <v>1.928115552852246E-2</v>
      </c>
      <c r="J10" s="29">
        <f t="shared" si="8"/>
        <v>0.13496808869965721</v>
      </c>
      <c r="K10" s="29">
        <f t="shared" si="2"/>
        <v>2.3530793006250006</v>
      </c>
      <c r="L10" s="8"/>
      <c r="M10" s="29">
        <f t="shared" si="9"/>
        <v>107.71628985465054</v>
      </c>
      <c r="P10" s="8">
        <v>7</v>
      </c>
      <c r="Q10" s="36">
        <f t="shared" si="10"/>
        <v>3.0150000000000007E-2</v>
      </c>
      <c r="R10" s="21">
        <f t="shared" si="11"/>
        <v>2.25</v>
      </c>
      <c r="S10" s="21">
        <f t="shared" si="12"/>
        <v>1.827592007127733</v>
      </c>
      <c r="T10" s="26">
        <f t="shared" si="3"/>
        <v>2.5477478730044117E-2</v>
      </c>
      <c r="U10" s="29">
        <f t="shared" si="13"/>
        <v>0.17834235111030883</v>
      </c>
      <c r="V10" s="29">
        <f t="shared" si="4"/>
        <v>2.3178374999999996</v>
      </c>
      <c r="W10" s="8"/>
      <c r="X10" s="29">
        <f t="shared" si="14"/>
        <v>102.34515239915305</v>
      </c>
      <c r="AA10" s="8">
        <v>7</v>
      </c>
      <c r="AB10" s="36">
        <f t="shared" si="20"/>
        <v>1.5149999999999995E-2</v>
      </c>
      <c r="AC10" s="21">
        <f t="shared" si="15"/>
        <v>2.25</v>
      </c>
      <c r="AD10" s="21">
        <f t="shared" si="16"/>
        <v>2.0252143006355907</v>
      </c>
      <c r="AE10" s="26">
        <f t="shared" si="17"/>
        <v>1.4047606994363877E-2</v>
      </c>
      <c r="AF10" s="29">
        <f t="shared" si="18"/>
        <v>9.833324896054714E-2</v>
      </c>
      <c r="AG10" s="29">
        <f t="shared" si="5"/>
        <v>2.2840875</v>
      </c>
      <c r="AH10" s="8"/>
      <c r="AI10" s="29">
        <f t="shared" si="19"/>
        <v>113.41200083559308</v>
      </c>
    </row>
    <row r="11" spans="2:35" x14ac:dyDescent="0.25">
      <c r="B11" s="34" t="s">
        <v>4</v>
      </c>
      <c r="C11" s="11">
        <v>45723</v>
      </c>
      <c r="E11" s="8">
        <v>8</v>
      </c>
      <c r="F11" s="36">
        <f t="shared" si="6"/>
        <v>2.265E-2</v>
      </c>
      <c r="G11" s="21">
        <f t="shared" si="0"/>
        <v>2.25</v>
      </c>
      <c r="H11" s="21">
        <f t="shared" si="7"/>
        <v>1.8809027291604188</v>
      </c>
      <c r="I11" s="26">
        <f t="shared" si="1"/>
        <v>1.8854109938417303E-2</v>
      </c>
      <c r="J11" s="29">
        <f t="shared" si="8"/>
        <v>0.15083287950733842</v>
      </c>
      <c r="K11" s="29">
        <f t="shared" si="2"/>
        <v>2.25</v>
      </c>
      <c r="L11" s="8"/>
      <c r="M11" s="29">
        <f t="shared" si="9"/>
        <v>135.42499649955016</v>
      </c>
      <c r="P11" s="8">
        <v>8</v>
      </c>
      <c r="Q11" s="36">
        <f t="shared" si="10"/>
        <v>3.1400000000000004E-2</v>
      </c>
      <c r="R11" s="21">
        <f t="shared" si="11"/>
        <v>2.25</v>
      </c>
      <c r="S11" s="21">
        <f t="shared" si="12"/>
        <v>1.756974674667849</v>
      </c>
      <c r="T11" s="26">
        <f t="shared" si="3"/>
        <v>2.4493040420671817E-2</v>
      </c>
      <c r="U11" s="29">
        <f t="shared" si="13"/>
        <v>0.19594432336537454</v>
      </c>
      <c r="V11" s="29">
        <f t="shared" si="4"/>
        <v>2.1815008726003491</v>
      </c>
      <c r="W11" s="8"/>
      <c r="X11" s="29">
        <f t="shared" si="14"/>
        <v>126.50217657608512</v>
      </c>
      <c r="AA11" s="8">
        <v>8</v>
      </c>
      <c r="AB11" s="36">
        <f t="shared" si="20"/>
        <v>1.3899999999999996E-2</v>
      </c>
      <c r="AC11" s="21">
        <f t="shared" si="15"/>
        <v>2.25</v>
      </c>
      <c r="AD11" s="21">
        <f t="shared" si="16"/>
        <v>2.0147517129062598</v>
      </c>
      <c r="AE11" s="26">
        <f t="shared" si="17"/>
        <v>1.3975034763109353E-2</v>
      </c>
      <c r="AF11" s="29">
        <f t="shared" si="18"/>
        <v>0.11180027810487482</v>
      </c>
      <c r="AG11" s="29">
        <f t="shared" si="5"/>
        <v>2.219153762698491</v>
      </c>
      <c r="AH11" s="8"/>
      <c r="AI11" s="29">
        <f t="shared" si="19"/>
        <v>145.06212332925071</v>
      </c>
    </row>
    <row r="12" spans="2:35" x14ac:dyDescent="0.25">
      <c r="B12" s="34" t="s">
        <v>15</v>
      </c>
      <c r="C12" s="11">
        <f>EDATE(C11,6)</f>
        <v>45907</v>
      </c>
      <c r="E12" s="8">
        <v>9</v>
      </c>
      <c r="F12" s="36">
        <f t="shared" si="6"/>
        <v>2.265E-2</v>
      </c>
      <c r="G12" s="21">
        <f t="shared" si="0"/>
        <v>2.25</v>
      </c>
      <c r="H12" s="21">
        <f t="shared" si="7"/>
        <v>1.8392438558259605</v>
      </c>
      <c r="I12" s="26">
        <f t="shared" si="1"/>
        <v>1.8436522699278642E-2</v>
      </c>
      <c r="J12" s="29">
        <f t="shared" si="8"/>
        <v>0.16592870429350778</v>
      </c>
      <c r="K12" s="29">
        <f t="shared" si="2"/>
        <v>2.1514362047447153</v>
      </c>
      <c r="L12" s="8"/>
      <c r="M12" s="29">
        <f t="shared" si="9"/>
        <v>165.53194702433643</v>
      </c>
      <c r="P12" s="8">
        <v>9</v>
      </c>
      <c r="Q12" s="36">
        <f t="shared" si="10"/>
        <v>3.2650000000000005E-2</v>
      </c>
      <c r="R12" s="21">
        <f t="shared" si="11"/>
        <v>2.25</v>
      </c>
      <c r="S12" s="21">
        <f t="shared" si="12"/>
        <v>1.6850165613537831</v>
      </c>
      <c r="T12" s="26">
        <f t="shared" si="3"/>
        <v>2.3489911005428604E-2</v>
      </c>
      <c r="U12" s="29">
        <f t="shared" si="13"/>
        <v>0.21140919904885744</v>
      </c>
      <c r="V12" s="29">
        <f t="shared" si="4"/>
        <v>2.04325735070248</v>
      </c>
      <c r="W12" s="8"/>
      <c r="X12" s="29">
        <f t="shared" si="14"/>
        <v>151.65149052184049</v>
      </c>
      <c r="AA12" s="8">
        <v>9</v>
      </c>
      <c r="AB12" s="36">
        <f t="shared" si="20"/>
        <v>1.2649999999999996E-2</v>
      </c>
      <c r="AC12" s="21">
        <f t="shared" si="15"/>
        <v>2.25</v>
      </c>
      <c r="AD12" s="21">
        <f t="shared" si="16"/>
        <v>2.0093158714094335</v>
      </c>
      <c r="AE12" s="26">
        <f t="shared" si="17"/>
        <v>1.3937329832323951E-2</v>
      </c>
      <c r="AF12" s="29">
        <f t="shared" si="18"/>
        <v>0.12543596849091557</v>
      </c>
      <c r="AG12" s="29">
        <f t="shared" si="5"/>
        <v>2.1667281065372337</v>
      </c>
      <c r="AH12" s="8"/>
      <c r="AI12" s="29">
        <f t="shared" si="19"/>
        <v>180.83842842684902</v>
      </c>
    </row>
    <row r="13" spans="2:35" x14ac:dyDescent="0.25">
      <c r="B13" s="34" t="s">
        <v>16</v>
      </c>
      <c r="C13" s="11">
        <f>EDATE(C12,6)</f>
        <v>46088</v>
      </c>
      <c r="E13" s="8">
        <v>10</v>
      </c>
      <c r="F13" s="36">
        <f t="shared" si="6"/>
        <v>2.265E-2</v>
      </c>
      <c r="G13" s="21">
        <f t="shared" si="0"/>
        <v>2.25</v>
      </c>
      <c r="H13" s="21">
        <f t="shared" si="7"/>
        <v>1.7985076573861638</v>
      </c>
      <c r="I13" s="26">
        <f t="shared" si="1"/>
        <v>1.8028184324332508E-2</v>
      </c>
      <c r="J13" s="29">
        <f t="shared" si="8"/>
        <v>0.18028184324332508</v>
      </c>
      <c r="K13" s="29">
        <f t="shared" si="2"/>
        <v>2.057190108038375</v>
      </c>
      <c r="L13" s="8"/>
      <c r="M13" s="29">
        <f t="shared" si="9"/>
        <v>197.83584231247801</v>
      </c>
      <c r="P13" s="8">
        <v>10</v>
      </c>
      <c r="Q13" s="36">
        <f t="shared" si="10"/>
        <v>3.3900000000000007E-2</v>
      </c>
      <c r="R13" s="21">
        <f t="shared" si="11"/>
        <v>2.25</v>
      </c>
      <c r="S13" s="21">
        <f t="shared" si="12"/>
        <v>1.6121192537660887</v>
      </c>
      <c r="T13" s="26">
        <f t="shared" si="3"/>
        <v>2.2473688787176604E-2</v>
      </c>
      <c r="U13" s="29">
        <f t="shared" si="13"/>
        <v>0.22473688787176604</v>
      </c>
      <c r="V13" s="29">
        <f t="shared" si="4"/>
        <v>1.904538873579035</v>
      </c>
      <c r="W13" s="8"/>
      <c r="X13" s="29">
        <f t="shared" si="14"/>
        <v>177.33311791426976</v>
      </c>
      <c r="AA13" s="8">
        <v>10</v>
      </c>
      <c r="AB13" s="36">
        <f t="shared" si="20"/>
        <v>1.1399999999999997E-2</v>
      </c>
      <c r="AC13" s="21">
        <f t="shared" si="15"/>
        <v>2.25</v>
      </c>
      <c r="AD13" s="21">
        <f t="shared" si="16"/>
        <v>2.00887551365288</v>
      </c>
      <c r="AE13" s="26">
        <f t="shared" si="17"/>
        <v>1.3934275354237833E-2</v>
      </c>
      <c r="AF13" s="29">
        <f t="shared" si="18"/>
        <v>0.13934275354237832</v>
      </c>
      <c r="AG13" s="29">
        <f t="shared" si="5"/>
        <v>2.1260220849556055</v>
      </c>
      <c r="AH13" s="8"/>
      <c r="AI13" s="29">
        <f t="shared" si="19"/>
        <v>220.97630650181679</v>
      </c>
    </row>
    <row r="14" spans="2:35" x14ac:dyDescent="0.25">
      <c r="B14" s="34" t="s">
        <v>3</v>
      </c>
      <c r="C14" s="11">
        <v>46005</v>
      </c>
      <c r="E14" s="8">
        <v>11</v>
      </c>
      <c r="F14" s="36">
        <f t="shared" si="6"/>
        <v>2.265E-2</v>
      </c>
      <c r="G14" s="21">
        <f t="shared" si="0"/>
        <v>2.25</v>
      </c>
      <c r="H14" s="21">
        <f t="shared" si="7"/>
        <v>1.7586736981236626</v>
      </c>
      <c r="I14" s="26">
        <f t="shared" si="1"/>
        <v>1.7628889966589258E-2</v>
      </c>
      <c r="J14" s="29">
        <f t="shared" si="8"/>
        <v>0.19391778963248185</v>
      </c>
      <c r="K14" s="29">
        <f t="shared" si="2"/>
        <v>1.9670725682117567</v>
      </c>
      <c r="L14" s="8"/>
      <c r="M14" s="29">
        <f t="shared" si="9"/>
        <v>232.14492815232347</v>
      </c>
      <c r="P14" s="8">
        <v>11</v>
      </c>
      <c r="Q14" s="36">
        <f t="shared" si="10"/>
        <v>3.5150000000000008E-2</v>
      </c>
      <c r="R14" s="21">
        <f t="shared" si="11"/>
        <v>2.25</v>
      </c>
      <c r="S14" s="21">
        <f t="shared" si="12"/>
        <v>1.5386731204640089</v>
      </c>
      <c r="T14" s="26">
        <f t="shared" si="3"/>
        <v>2.1449815684367098E-2</v>
      </c>
      <c r="U14" s="29">
        <f t="shared" si="13"/>
        <v>0.23594797252803809</v>
      </c>
      <c r="V14" s="29">
        <f t="shared" si="4"/>
        <v>1.7666865913486463</v>
      </c>
      <c r="W14" s="8"/>
      <c r="X14" s="29">
        <f t="shared" si="14"/>
        <v>203.10485190124919</v>
      </c>
      <c r="AA14" s="8">
        <v>11</v>
      </c>
      <c r="AB14" s="36">
        <f t="shared" si="20"/>
        <v>1.0149999999999998E-2</v>
      </c>
      <c r="AC14" s="21">
        <f t="shared" si="15"/>
        <v>2.25</v>
      </c>
      <c r="AD14" s="21">
        <f t="shared" si="16"/>
        <v>2.013436643109257</v>
      </c>
      <c r="AE14" s="26">
        <f t="shared" si="17"/>
        <v>1.3965912971073489E-2</v>
      </c>
      <c r="AF14" s="29">
        <f t="shared" si="18"/>
        <v>0.15362504268180838</v>
      </c>
      <c r="AG14" s="29">
        <f t="shared" si="5"/>
        <v>2.0964351894773934</v>
      </c>
      <c r="AH14" s="8"/>
      <c r="AI14" s="29">
        <f t="shared" si="19"/>
        <v>265.77363689042193</v>
      </c>
    </row>
    <row r="15" spans="2:35" x14ac:dyDescent="0.25">
      <c r="B15" s="35" t="s">
        <v>5</v>
      </c>
      <c r="C15" s="15">
        <v>49375</v>
      </c>
      <c r="E15" s="8">
        <v>12</v>
      </c>
      <c r="F15" s="36">
        <f t="shared" si="6"/>
        <v>2.265E-2</v>
      </c>
      <c r="G15" s="21">
        <f t="shared" si="0"/>
        <v>2.25</v>
      </c>
      <c r="H15" s="21">
        <f t="shared" si="7"/>
        <v>1.7197219949383098</v>
      </c>
      <c r="I15" s="26">
        <f t="shared" si="1"/>
        <v>1.7238439316080045E-2</v>
      </c>
      <c r="J15" s="29">
        <f t="shared" si="8"/>
        <v>0.20686127179296054</v>
      </c>
      <c r="K15" s="29">
        <f t="shared" si="2"/>
        <v>1.8809027291604188</v>
      </c>
      <c r="L15" s="8"/>
      <c r="M15" s="29">
        <f t="shared" si="9"/>
        <v>268.27663121037631</v>
      </c>
      <c r="P15" s="8">
        <v>12</v>
      </c>
      <c r="Q15" s="36">
        <f t="shared" si="10"/>
        <v>3.6400000000000009E-2</v>
      </c>
      <c r="R15" s="21">
        <f t="shared" si="11"/>
        <v>2.25</v>
      </c>
      <c r="S15" s="21">
        <f t="shared" si="12"/>
        <v>1.4650541141109215</v>
      </c>
      <c r="T15" s="26">
        <f t="shared" si="3"/>
        <v>2.0423532651188635E-2</v>
      </c>
      <c r="U15" s="29">
        <f t="shared" si="13"/>
        <v>0.24508239181426361</v>
      </c>
      <c r="V15" s="29">
        <f t="shared" si="4"/>
        <v>1.6309320950957362</v>
      </c>
      <c r="W15" s="8"/>
      <c r="X15" s="29">
        <f t="shared" si="14"/>
        <v>228.54844180130374</v>
      </c>
      <c r="AA15" s="8">
        <v>12</v>
      </c>
      <c r="AB15" s="36">
        <f t="shared" si="20"/>
        <v>8.8999999999999982E-3</v>
      </c>
      <c r="AC15" s="21">
        <f t="shared" si="15"/>
        <v>2.25</v>
      </c>
      <c r="AD15" s="21">
        <f t="shared" si="16"/>
        <v>2.0230427198271985</v>
      </c>
      <c r="AE15" s="26">
        <f t="shared" si="17"/>
        <v>1.4032544137192059E-2</v>
      </c>
      <c r="AF15" s="29">
        <f t="shared" si="18"/>
        <v>0.16839052964630472</v>
      </c>
      <c r="AG15" s="29">
        <f t="shared" si="5"/>
        <v>2.0775401222704999</v>
      </c>
      <c r="AH15" s="8"/>
      <c r="AI15" s="29">
        <f t="shared" si="19"/>
        <v>315.59466429304297</v>
      </c>
    </row>
    <row r="16" spans="2:35" x14ac:dyDescent="0.25">
      <c r="E16" s="8">
        <v>13</v>
      </c>
      <c r="F16" s="36">
        <f t="shared" si="6"/>
        <v>2.265E-2</v>
      </c>
      <c r="G16" s="21">
        <f t="shared" si="0"/>
        <v>2.25</v>
      </c>
      <c r="H16" s="21">
        <f t="shared" si="7"/>
        <v>1.6816330073224559</v>
      </c>
      <c r="I16" s="26">
        <f t="shared" si="1"/>
        <v>1.6856636499369328E-2</v>
      </c>
      <c r="J16" s="29">
        <f t="shared" si="8"/>
        <v>0.21913627449180126</v>
      </c>
      <c r="K16" s="29">
        <f t="shared" si="2"/>
        <v>1.7985076573861638</v>
      </c>
      <c r="L16" s="8"/>
      <c r="M16" s="29">
        <f t="shared" si="9"/>
        <v>306.05720733268697</v>
      </c>
      <c r="P16" s="8">
        <v>13</v>
      </c>
      <c r="Q16" s="36">
        <f t="shared" si="10"/>
        <v>3.765000000000001E-2</v>
      </c>
      <c r="R16" s="21">
        <f t="shared" si="11"/>
        <v>2.25</v>
      </c>
      <c r="S16" s="21">
        <f t="shared" si="12"/>
        <v>1.3916209007487055</v>
      </c>
      <c r="T16" s="26">
        <f t="shared" si="3"/>
        <v>1.9399839658322589E-2</v>
      </c>
      <c r="U16" s="29">
        <f t="shared" si="13"/>
        <v>0.25219791555819365</v>
      </c>
      <c r="V16" s="29">
        <f t="shared" si="4"/>
        <v>1.4983826085133645</v>
      </c>
      <c r="W16" s="8"/>
      <c r="X16" s="29">
        <f t="shared" si="14"/>
        <v>253.2750039362644</v>
      </c>
      <c r="AA16" s="8">
        <v>13</v>
      </c>
      <c r="AB16" s="36">
        <f t="shared" si="20"/>
        <v>7.6499999999999979E-3</v>
      </c>
      <c r="AC16" s="21">
        <f t="shared" si="15"/>
        <v>2.25</v>
      </c>
      <c r="AD16" s="21">
        <f t="shared" si="16"/>
        <v>2.0377753202529552</v>
      </c>
      <c r="AE16" s="26">
        <f t="shared" si="17"/>
        <v>1.4134734695851E-2</v>
      </c>
      <c r="AF16" s="29">
        <f t="shared" si="18"/>
        <v>0.183751551046063</v>
      </c>
      <c r="AG16" s="29">
        <f t="shared" si="5"/>
        <v>2.0690725383590047</v>
      </c>
      <c r="AH16" s="8"/>
      <c r="AI16" s="29">
        <f t="shared" si="19"/>
        <v>370.87510828603786</v>
      </c>
    </row>
    <row r="17" spans="5:35" x14ac:dyDescent="0.25">
      <c r="E17" s="8">
        <v>14</v>
      </c>
      <c r="F17" s="36">
        <f t="shared" si="6"/>
        <v>2.265E-2</v>
      </c>
      <c r="G17" s="21">
        <f t="shared" si="0"/>
        <v>2.25</v>
      </c>
      <c r="H17" s="21">
        <f t="shared" si="7"/>
        <v>1.6443876275582614</v>
      </c>
      <c r="I17" s="26">
        <f t="shared" si="1"/>
        <v>1.6483289981293042E-2</v>
      </c>
      <c r="J17" s="29">
        <f t="shared" si="8"/>
        <v>0.23076605973810257</v>
      </c>
      <c r="K17" s="29">
        <f t="shared" si="2"/>
        <v>1.71972199493831</v>
      </c>
      <c r="L17" s="8"/>
      <c r="M17" s="29">
        <f t="shared" si="9"/>
        <v>345.32140178723489</v>
      </c>
      <c r="P17" s="8">
        <v>14</v>
      </c>
      <c r="Q17" s="36">
        <f t="shared" si="10"/>
        <v>3.8900000000000011E-2</v>
      </c>
      <c r="R17" s="21">
        <f t="shared" si="11"/>
        <v>2.25</v>
      </c>
      <c r="S17" s="21">
        <f t="shared" si="12"/>
        <v>1.318712340536645</v>
      </c>
      <c r="T17" s="26">
        <f t="shared" si="3"/>
        <v>1.8383460573277114E-2</v>
      </c>
      <c r="U17" s="29">
        <f t="shared" si="13"/>
        <v>0.2573684480258796</v>
      </c>
      <c r="V17" s="29">
        <f t="shared" si="4"/>
        <v>1.3700102505835203</v>
      </c>
      <c r="W17" s="8"/>
      <c r="X17" s="29">
        <f t="shared" si="14"/>
        <v>276.92959151269542</v>
      </c>
      <c r="AA17" s="8">
        <v>14</v>
      </c>
      <c r="AB17" s="36">
        <f t="shared" si="20"/>
        <v>6.3999999999999977E-3</v>
      </c>
      <c r="AC17" s="21">
        <f t="shared" si="15"/>
        <v>2.25</v>
      </c>
      <c r="AD17" s="21">
        <f t="shared" si="16"/>
        <v>2.0577552798828957</v>
      </c>
      <c r="AE17" s="26">
        <f t="shared" si="17"/>
        <v>1.4273322805048418E-2</v>
      </c>
      <c r="AF17" s="29">
        <f t="shared" si="18"/>
        <v>0.19982651927067785</v>
      </c>
      <c r="AG17" s="29">
        <f t="shared" si="5"/>
        <v>2.0709249136741463</v>
      </c>
      <c r="AH17" s="8"/>
      <c r="AI17" s="29">
        <f t="shared" si="19"/>
        <v>432.12860877540811</v>
      </c>
    </row>
    <row r="18" spans="5:35" x14ac:dyDescent="0.25">
      <c r="E18" s="8">
        <v>15</v>
      </c>
      <c r="F18" s="36">
        <f t="shared" si="6"/>
        <v>2.265E-2</v>
      </c>
      <c r="G18" s="21">
        <f t="shared" si="0"/>
        <v>2.25</v>
      </c>
      <c r="H18" s="21">
        <f t="shared" si="7"/>
        <v>1.6079671711321184</v>
      </c>
      <c r="I18" s="26">
        <f t="shared" si="1"/>
        <v>1.6118212468873062E-2</v>
      </c>
      <c r="J18" s="29">
        <f t="shared" si="8"/>
        <v>0.24177318703309592</v>
      </c>
      <c r="K18" s="29">
        <f t="shared" si="2"/>
        <v>1.644387627558261</v>
      </c>
      <c r="L18" s="8"/>
      <c r="M18" s="29">
        <f t="shared" si="9"/>
        <v>385.91212107170844</v>
      </c>
      <c r="P18" s="44">
        <v>15</v>
      </c>
      <c r="Q18" s="45">
        <f t="shared" si="10"/>
        <v>4.0150000000000012E-2</v>
      </c>
      <c r="R18" s="54">
        <f t="shared" si="11"/>
        <v>2.25</v>
      </c>
      <c r="S18" s="54">
        <f t="shared" si="12"/>
        <v>1.2466453371606105</v>
      </c>
      <c r="T18" s="47">
        <f t="shared" si="3"/>
        <v>1.7378813180155411E-2</v>
      </c>
      <c r="U18" s="46">
        <f t="shared" si="13"/>
        <v>0.26068219770233114</v>
      </c>
      <c r="V18" s="46">
        <f t="shared" si="4"/>
        <v>1.2466453371606105</v>
      </c>
      <c r="W18" s="44"/>
      <c r="X18" s="46">
        <f t="shared" si="14"/>
        <v>299.19488091854652</v>
      </c>
      <c r="AA18" s="8">
        <v>15</v>
      </c>
      <c r="AB18" s="36">
        <f t="shared" si="20"/>
        <v>5.1499999999999975E-3</v>
      </c>
      <c r="AC18" s="21">
        <f t="shared" si="15"/>
        <v>2.25</v>
      </c>
      <c r="AD18" s="21">
        <f t="shared" si="16"/>
        <v>2.0831443409871202</v>
      </c>
      <c r="AE18" s="26">
        <f t="shared" si="17"/>
        <v>1.4449430366720339E-2</v>
      </c>
      <c r="AF18" s="29">
        <f t="shared" si="18"/>
        <v>0.21674145550080509</v>
      </c>
      <c r="AG18" s="29">
        <f t="shared" si="5"/>
        <v>2.0831443409871202</v>
      </c>
      <c r="AH18" s="8"/>
      <c r="AI18" s="29">
        <f t="shared" si="19"/>
        <v>499.95464183690888</v>
      </c>
    </row>
    <row r="19" spans="5:35" x14ac:dyDescent="0.25">
      <c r="E19" s="44">
        <v>16</v>
      </c>
      <c r="F19" s="45">
        <f t="shared" si="6"/>
        <v>2.265E-2</v>
      </c>
      <c r="G19" s="54">
        <f t="shared" si="0"/>
        <v>2.25</v>
      </c>
      <c r="H19" s="54">
        <f t="shared" si="7"/>
        <v>1.572353367361383</v>
      </c>
      <c r="I19" s="47">
        <f t="shared" si="1"/>
        <v>1.576122081735986E-2</v>
      </c>
      <c r="J19" s="46">
        <f t="shared" si="8"/>
        <v>0.25217953307775776</v>
      </c>
      <c r="K19" s="46">
        <f t="shared" si="2"/>
        <v>1.572353367361383</v>
      </c>
      <c r="L19" s="44"/>
      <c r="M19" s="46">
        <f t="shared" si="9"/>
        <v>427.68011592229618</v>
      </c>
      <c r="P19" s="8">
        <v>16</v>
      </c>
      <c r="Q19" s="36">
        <f t="shared" si="10"/>
        <v>4.1400000000000013E-2</v>
      </c>
      <c r="R19" s="21">
        <f t="shared" si="11"/>
        <v>2.25</v>
      </c>
      <c r="S19" s="21">
        <f t="shared" si="12"/>
        <v>1.1757130660713329</v>
      </c>
      <c r="T19" s="26">
        <f t="shared" si="3"/>
        <v>1.6389984480476988E-2</v>
      </c>
      <c r="U19" s="29">
        <f t="shared" si="13"/>
        <v>0.26223975168763181</v>
      </c>
      <c r="V19" s="29"/>
      <c r="W19" s="48">
        <f>SUM(V4:V18)</f>
        <v>32.431166583845744</v>
      </c>
      <c r="X19" s="29">
        <f t="shared" si="14"/>
        <v>319.79395397140252</v>
      </c>
      <c r="AA19" s="44">
        <v>16</v>
      </c>
      <c r="AB19" s="45">
        <f t="shared" si="20"/>
        <v>3.8999999999999972E-3</v>
      </c>
      <c r="AC19" s="54">
        <f t="shared" si="15"/>
        <v>2.25</v>
      </c>
      <c r="AD19" s="54">
        <f t="shared" si="16"/>
        <v>2.1141473368184966</v>
      </c>
      <c r="AE19" s="47">
        <f t="shared" si="17"/>
        <v>1.4664478177191751E-2</v>
      </c>
      <c r="AF19" s="46">
        <f t="shared" si="18"/>
        <v>0.23463165083506801</v>
      </c>
      <c r="AG19" s="46">
        <f t="shared" si="5"/>
        <v>2.105934193463987</v>
      </c>
      <c r="AH19" s="2"/>
      <c r="AI19" s="46">
        <f t="shared" si="19"/>
        <v>575.0480756146311</v>
      </c>
    </row>
    <row r="20" spans="5:35" x14ac:dyDescent="0.25">
      <c r="E20" s="8">
        <v>17</v>
      </c>
      <c r="F20" s="36">
        <f t="shared" si="6"/>
        <v>2.265E-2</v>
      </c>
      <c r="G20" s="21">
        <f t="shared" si="0"/>
        <v>2.25</v>
      </c>
      <c r="H20" s="21">
        <f t="shared" si="7"/>
        <v>1.5375283502287027</v>
      </c>
      <c r="I20" s="26">
        <f t="shared" si="1"/>
        <v>1.5412135938356093E-2</v>
      </c>
      <c r="J20" s="29">
        <f t="shared" si="8"/>
        <v>0.26200631095205357</v>
      </c>
      <c r="K20" s="8"/>
      <c r="L20" s="48">
        <f>SUM(K4:K19)</f>
        <v>35.957957797692139</v>
      </c>
      <c r="M20" s="29">
        <f t="shared" si="9"/>
        <v>470.48367516998303</v>
      </c>
      <c r="P20" s="8">
        <v>17</v>
      </c>
      <c r="Q20" s="36">
        <f t="shared" si="10"/>
        <v>4.2650000000000014E-2</v>
      </c>
      <c r="R20" s="21">
        <f t="shared" si="11"/>
        <v>2.25</v>
      </c>
      <c r="S20" s="21">
        <f t="shared" si="12"/>
        <v>1.1061835848725794</v>
      </c>
      <c r="T20" s="26">
        <f t="shared" si="3"/>
        <v>1.5420711321345452E-2</v>
      </c>
      <c r="U20" s="29">
        <f t="shared" si="13"/>
        <v>0.26215209246287269</v>
      </c>
      <c r="V20" s="8"/>
      <c r="W20" s="3"/>
      <c r="X20" s="29">
        <f t="shared" si="14"/>
        <v>338.49217697100931</v>
      </c>
      <c r="AA20" s="8">
        <v>17</v>
      </c>
      <c r="AB20" s="36">
        <f t="shared" si="20"/>
        <v>2.649999999999997E-3</v>
      </c>
      <c r="AC20" s="21">
        <f t="shared" si="15"/>
        <v>2.25</v>
      </c>
      <c r="AD20" s="21">
        <f t="shared" si="16"/>
        <v>2.1510149536648973</v>
      </c>
      <c r="AE20" s="26">
        <f t="shared" si="17"/>
        <v>1.4920205085753717E-2</v>
      </c>
      <c r="AF20" s="29">
        <f t="shared" si="18"/>
        <v>0.25364348645781321</v>
      </c>
      <c r="AG20" s="8"/>
      <c r="AH20" s="48">
        <f>SUM(AG4:AG18)</f>
        <v>35.119532831738383</v>
      </c>
      <c r="AI20" s="29">
        <f t="shared" si="19"/>
        <v>658.21057582145852</v>
      </c>
    </row>
    <row r="21" spans="5:35" x14ac:dyDescent="0.25">
      <c r="E21" s="8">
        <v>18</v>
      </c>
      <c r="F21" s="36">
        <f t="shared" si="6"/>
        <v>2.265E-2</v>
      </c>
      <c r="G21" s="21">
        <f t="shared" si="0"/>
        <v>2.25</v>
      </c>
      <c r="H21" s="21">
        <f t="shared" si="7"/>
        <v>1.5034746494193543</v>
      </c>
      <c r="I21" s="26">
        <f t="shared" si="1"/>
        <v>1.5070782709975155E-2</v>
      </c>
      <c r="J21" s="29">
        <f t="shared" si="8"/>
        <v>0.27127408877955278</v>
      </c>
      <c r="K21" s="8"/>
      <c r="L21" s="8"/>
      <c r="M21" s="29">
        <f t="shared" si="9"/>
        <v>514.18833010141918</v>
      </c>
      <c r="P21" s="8">
        <v>18</v>
      </c>
      <c r="Q21" s="36">
        <f t="shared" si="10"/>
        <v>4.3900000000000015E-2</v>
      </c>
      <c r="R21" s="21">
        <f t="shared" si="11"/>
        <v>2.25</v>
      </c>
      <c r="S21" s="21">
        <f t="shared" si="12"/>
        <v>1.0382988226836918</v>
      </c>
      <c r="T21" s="26">
        <f t="shared" si="3"/>
        <v>1.4474366306694375E-2</v>
      </c>
      <c r="U21" s="29">
        <f t="shared" si="13"/>
        <v>0.26053859352049874</v>
      </c>
      <c r="V21" s="8"/>
      <c r="W21" s="8"/>
      <c r="X21" s="29">
        <f t="shared" si="14"/>
        <v>355.09819735782258</v>
      </c>
      <c r="AA21" s="8">
        <v>18</v>
      </c>
      <c r="AB21" s="36">
        <f t="shared" si="20"/>
        <v>1.399999999999997E-3</v>
      </c>
      <c r="AC21" s="21">
        <f t="shared" si="15"/>
        <v>2.25</v>
      </c>
      <c r="AD21" s="21">
        <f t="shared" si="16"/>
        <v>2.194047123054975</v>
      </c>
      <c r="AE21" s="26">
        <f t="shared" si="17"/>
        <v>1.5218691524209634E-2</v>
      </c>
      <c r="AF21" s="29">
        <f t="shared" si="18"/>
        <v>0.27393644743577339</v>
      </c>
      <c r="AG21" s="8"/>
      <c r="AH21" s="8"/>
      <c r="AI21" s="29">
        <f t="shared" si="19"/>
        <v>750.36411608480148</v>
      </c>
    </row>
    <row r="22" spans="5:35" x14ac:dyDescent="0.25">
      <c r="E22" s="8">
        <v>19</v>
      </c>
      <c r="F22" s="36">
        <f t="shared" si="6"/>
        <v>2.265E-2</v>
      </c>
      <c r="G22" s="21">
        <f t="shared" si="0"/>
        <v>2.25</v>
      </c>
      <c r="H22" s="21">
        <f t="shared" si="7"/>
        <v>1.470175181557086</v>
      </c>
      <c r="I22" s="26">
        <f t="shared" si="1"/>
        <v>1.4736989888989539E-2</v>
      </c>
      <c r="J22" s="29">
        <f t="shared" si="8"/>
        <v>0.28000280789080123</v>
      </c>
      <c r="K22" s="8"/>
      <c r="L22" s="8"/>
      <c r="M22" s="29">
        <f t="shared" si="9"/>
        <v>558.66656899169266</v>
      </c>
      <c r="P22" s="8">
        <v>19</v>
      </c>
      <c r="Q22" s="36">
        <f t="shared" si="10"/>
        <v>4.5150000000000017E-2</v>
      </c>
      <c r="R22" s="21">
        <f t="shared" si="11"/>
        <v>2.25</v>
      </c>
      <c r="S22" s="21">
        <f t="shared" si="12"/>
        <v>0.97227393926286454</v>
      </c>
      <c r="T22" s="26">
        <f t="shared" si="3"/>
        <v>1.3553948863169081E-2</v>
      </c>
      <c r="U22" s="29">
        <f t="shared" si="13"/>
        <v>0.25752502840021252</v>
      </c>
      <c r="V22" s="8"/>
      <c r="W22" s="8"/>
      <c r="X22" s="29">
        <f t="shared" si="14"/>
        <v>369.4640969198885</v>
      </c>
      <c r="AA22" s="8">
        <v>19</v>
      </c>
      <c r="AB22" s="36">
        <f t="shared" si="20"/>
        <v>1.4999999999999692E-4</v>
      </c>
      <c r="AC22" s="21">
        <f t="shared" si="15"/>
        <v>2.25</v>
      </c>
      <c r="AD22" s="21">
        <f t="shared" si="16"/>
        <v>2.2435971086586339</v>
      </c>
      <c r="AE22" s="26">
        <f t="shared" si="17"/>
        <v>1.5562387855071084E-2</v>
      </c>
      <c r="AF22" s="29">
        <f t="shared" si="18"/>
        <v>0.29568536924635058</v>
      </c>
      <c r="AG22" s="8"/>
      <c r="AH22" s="8"/>
      <c r="AI22" s="29">
        <f t="shared" si="19"/>
        <v>852.56690129028084</v>
      </c>
    </row>
    <row r="23" spans="5:35" x14ac:dyDescent="0.25">
      <c r="E23" s="8">
        <v>20</v>
      </c>
      <c r="F23" s="36">
        <f t="shared" si="6"/>
        <v>2.265E-2</v>
      </c>
      <c r="G23" s="21">
        <f>$C$10+$C$5</f>
        <v>102.25</v>
      </c>
      <c r="H23" s="21">
        <f t="shared" si="7"/>
        <v>65.33153509203737</v>
      </c>
      <c r="I23" s="26">
        <f t="shared" si="1"/>
        <v>0.6548812577993689</v>
      </c>
      <c r="J23" s="29">
        <f t="shared" si="8"/>
        <v>13.097625155987378</v>
      </c>
      <c r="K23" s="8"/>
      <c r="L23" s="8"/>
      <c r="M23" s="29">
        <f t="shared" si="9"/>
        <v>27439.244738655696</v>
      </c>
      <c r="P23" s="8">
        <v>20</v>
      </c>
      <c r="Q23" s="36">
        <f t="shared" si="10"/>
        <v>4.6400000000000018E-2</v>
      </c>
      <c r="R23" s="21">
        <f>$C$10+$C$5</f>
        <v>102.25</v>
      </c>
      <c r="S23" s="21">
        <f t="shared" si="12"/>
        <v>41.277054336796915</v>
      </c>
      <c r="T23" s="26">
        <f t="shared" si="3"/>
        <v>0.57542124817966467</v>
      </c>
      <c r="U23" s="29">
        <f t="shared" si="13"/>
        <v>11.508424963593294</v>
      </c>
      <c r="V23" s="8"/>
      <c r="W23" s="8"/>
      <c r="X23" s="29">
        <f t="shared" si="14"/>
        <v>17336.362821454706</v>
      </c>
      <c r="AA23" s="8">
        <v>20</v>
      </c>
      <c r="AB23" s="36">
        <f t="shared" si="20"/>
        <v>-1.1000000000000031E-3</v>
      </c>
      <c r="AC23" s="21">
        <f>$C$10+$C$5</f>
        <v>102.25</v>
      </c>
      <c r="AD23" s="21">
        <f t="shared" si="16"/>
        <v>104.52569264357743</v>
      </c>
      <c r="AE23" s="26">
        <f t="shared" si="17"/>
        <v>0.72502739616732237</v>
      </c>
      <c r="AF23" s="29">
        <f t="shared" si="18"/>
        <v>14.500547923346447</v>
      </c>
      <c r="AG23" s="8"/>
      <c r="AH23" s="8"/>
      <c r="AI23" s="29">
        <f t="shared" si="19"/>
        <v>43900.790910302523</v>
      </c>
    </row>
    <row r="24" spans="5:35" x14ac:dyDescent="0.25">
      <c r="E24" s="18"/>
      <c r="F24" s="18"/>
      <c r="G24" s="24"/>
      <c r="H24" s="22">
        <f>SUM(H4:H23)</f>
        <v>99.760886899671377</v>
      </c>
      <c r="I24" s="30"/>
      <c r="J24" s="30">
        <f>SUM(J4:J23)</f>
        <v>16.317619585156205</v>
      </c>
      <c r="K24" s="18"/>
      <c r="L24" s="18"/>
      <c r="M24" s="30">
        <f>SUM(M4:M23)</f>
        <v>31781.148822234405</v>
      </c>
      <c r="P24" s="18"/>
      <c r="Q24" s="18"/>
      <c r="R24" s="24"/>
      <c r="S24" s="22">
        <f>SUM(S4:S23)</f>
        <v>71.733629002015789</v>
      </c>
      <c r="T24" s="30"/>
      <c r="U24" s="30">
        <f>SUM(U4:U23)</f>
        <v>15.198949824421399</v>
      </c>
      <c r="V24" s="18"/>
      <c r="W24" s="18"/>
      <c r="X24" s="30">
        <f>SUM(X4:X23)</f>
        <v>20759.526572857259</v>
      </c>
      <c r="AA24" s="18"/>
      <c r="AB24" s="18"/>
      <c r="AC24" s="22"/>
      <c r="AD24" s="22">
        <f>SUM(AD4:AD23)</f>
        <v>144.16792137252551</v>
      </c>
      <c r="AE24" s="30"/>
      <c r="AF24" s="30">
        <f>SUM(AF4:AF23)</f>
        <v>17.259326487859518</v>
      </c>
      <c r="AG24" s="18"/>
      <c r="AH24" s="18"/>
      <c r="AI24" s="30">
        <f>SUM(AI4:AI23)</f>
        <v>49513.679446094466</v>
      </c>
    </row>
    <row r="26" spans="5:35" x14ac:dyDescent="0.25">
      <c r="E26" s="25" t="s">
        <v>18</v>
      </c>
      <c r="F26" s="31">
        <f>J24</f>
        <v>16.317619585156205</v>
      </c>
      <c r="P26" s="25" t="s">
        <v>18</v>
      </c>
      <c r="Q26" s="31">
        <f>U24</f>
        <v>15.198949824421399</v>
      </c>
      <c r="AA26" s="25" t="s">
        <v>18</v>
      </c>
      <c r="AB26" s="31">
        <f>AF24</f>
        <v>17.259326487859518</v>
      </c>
    </row>
    <row r="27" spans="5:35" x14ac:dyDescent="0.25">
      <c r="E27" s="34" t="s">
        <v>19</v>
      </c>
      <c r="F27" s="29">
        <f>F26/(1+$C$6)</f>
        <v>15.610465498092612</v>
      </c>
      <c r="P27" s="34" t="s">
        <v>19</v>
      </c>
      <c r="Q27" s="29">
        <f>Q26/(1+$C$6)</f>
        <v>14.540275351020187</v>
      </c>
      <c r="AA27" s="34" t="s">
        <v>19</v>
      </c>
      <c r="AB27" s="29">
        <f>AB26/(1+$C$6)</f>
        <v>16.511361798392347</v>
      </c>
    </row>
    <row r="28" spans="5:35" x14ac:dyDescent="0.25">
      <c r="E28" s="34" t="s">
        <v>20</v>
      </c>
      <c r="F28" s="29">
        <f>M24/H24</f>
        <v>318.57323856990587</v>
      </c>
      <c r="P28" s="34" t="s">
        <v>20</v>
      </c>
      <c r="Q28" s="29">
        <f>X24/S24</f>
        <v>289.39741180909579</v>
      </c>
      <c r="AA28" s="34" t="s">
        <v>20</v>
      </c>
      <c r="AB28" s="29">
        <f>AI24/AD24</f>
        <v>343.44449843424343</v>
      </c>
    </row>
    <row r="29" spans="5:35" x14ac:dyDescent="0.25">
      <c r="E29" s="35" t="s">
        <v>36</v>
      </c>
      <c r="F29" s="28">
        <f>H24*F27*0.0001</f>
        <v>0.15573138830064392</v>
      </c>
      <c r="P29" s="35" t="s">
        <v>36</v>
      </c>
      <c r="Q29" s="28">
        <f>S24*Q27*0.0001</f>
        <v>0.1043026717617237</v>
      </c>
      <c r="AA29" s="35" t="s">
        <v>36</v>
      </c>
      <c r="AB29" s="28">
        <f>AD24*AB27*0.0001</f>
        <v>0.23804087095039494</v>
      </c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1582-43D5-4626-8CA3-5CE8F4909492}">
  <dimension ref="B1:W67"/>
  <sheetViews>
    <sheetView zoomScale="101" workbookViewId="0">
      <selection activeCell="L36" sqref="L36"/>
    </sheetView>
  </sheetViews>
  <sheetFormatPr defaultRowHeight="13.8" x14ac:dyDescent="0.25"/>
  <cols>
    <col min="2" max="2" width="27.109375" bestFit="1" customWidth="1"/>
    <col min="3" max="3" width="12" bestFit="1" customWidth="1"/>
    <col min="6" max="6" width="22.21875" bestFit="1" customWidth="1"/>
    <col min="7" max="7" width="7.109375" bestFit="1" customWidth="1"/>
    <col min="8" max="8" width="10.77734375" bestFit="1" customWidth="1"/>
    <col min="9" max="9" width="9.5546875" bestFit="1" customWidth="1"/>
    <col min="10" max="10" width="21.33203125" bestFit="1" customWidth="1"/>
    <col min="11" max="11" width="13.6640625" bestFit="1" customWidth="1"/>
    <col min="12" max="12" width="16" bestFit="1" customWidth="1"/>
    <col min="15" max="15" width="6.5546875" bestFit="1" customWidth="1"/>
    <col min="16" max="16" width="9.44140625" bestFit="1" customWidth="1"/>
    <col min="17" max="17" width="22.33203125" bestFit="1" customWidth="1"/>
    <col min="18" max="18" width="23.44140625" bestFit="1" customWidth="1"/>
  </cols>
  <sheetData>
    <row r="1" spans="2:23" x14ac:dyDescent="0.25">
      <c r="W1" s="38"/>
    </row>
    <row r="2" spans="2:23" x14ac:dyDescent="0.25">
      <c r="B2" s="73" t="s">
        <v>7</v>
      </c>
      <c r="C2" s="73"/>
      <c r="F2" s="16" t="s">
        <v>17</v>
      </c>
      <c r="G2" s="17" t="s">
        <v>10</v>
      </c>
      <c r="H2" s="17" t="s">
        <v>11</v>
      </c>
      <c r="I2" s="17" t="s">
        <v>12</v>
      </c>
      <c r="J2" s="17" t="s">
        <v>22</v>
      </c>
      <c r="K2" s="17" t="s">
        <v>13</v>
      </c>
      <c r="L2" s="17" t="s">
        <v>14</v>
      </c>
      <c r="O2" s="33" t="s">
        <v>23</v>
      </c>
      <c r="P2" s="33" t="s">
        <v>0</v>
      </c>
      <c r="Q2" s="33" t="s">
        <v>24</v>
      </c>
      <c r="R2" s="33" t="s">
        <v>25</v>
      </c>
      <c r="V2" s="4"/>
    </row>
    <row r="3" spans="2:23" x14ac:dyDescent="0.25">
      <c r="B3" s="34" t="s">
        <v>0</v>
      </c>
      <c r="C3" s="52">
        <f>I62</f>
        <v>86.694441429074772</v>
      </c>
      <c r="F3" s="12">
        <f>C10</f>
        <v>45869</v>
      </c>
      <c r="G3" s="13"/>
      <c r="H3" s="13"/>
      <c r="I3" s="13"/>
      <c r="J3" s="13"/>
      <c r="K3" s="13"/>
      <c r="L3" s="13"/>
      <c r="O3" s="40">
        <v>0.01</v>
      </c>
      <c r="P3" s="53">
        <v>152.07025368034948</v>
      </c>
      <c r="Q3" s="53">
        <f>$I$62*(1-$C$18*(O3-$C$5))</f>
        <v>197.68049218201773</v>
      </c>
      <c r="R3" s="53">
        <f>$I$62*(1-$C$18*(O3-$C$5)+0.5*$C$19*((O3-$C$5)^2))</f>
        <v>312.73773311730838</v>
      </c>
      <c r="U3" s="5"/>
      <c r="V3" s="4"/>
    </row>
    <row r="4" spans="2:23" x14ac:dyDescent="0.25">
      <c r="B4" s="34" t="s">
        <v>8</v>
      </c>
      <c r="C4" s="52">
        <v>100</v>
      </c>
      <c r="F4" s="11">
        <f>EDATE(F3,6)</f>
        <v>46053</v>
      </c>
      <c r="G4" s="8">
        <v>1</v>
      </c>
      <c r="H4" s="52">
        <f>$C$9</f>
        <v>2.1875</v>
      </c>
      <c r="I4" s="52">
        <f>H4/(1+$C$6)^G4</f>
        <v>2.1312769149827546</v>
      </c>
      <c r="J4" s="29">
        <f>I4/$I$62</f>
        <v>2.4583778150602247E-2</v>
      </c>
      <c r="K4" s="29">
        <f>J4*G4</f>
        <v>2.4583778150602247E-2</v>
      </c>
      <c r="L4" s="29">
        <f>G4*(G4+1)*I4</f>
        <v>4.2625538299655092</v>
      </c>
      <c r="O4" s="10">
        <v>1.4999999999999999E-2</v>
      </c>
      <c r="P4" s="21">
        <v>126.50693203977737</v>
      </c>
      <c r="Q4" s="21">
        <f t="shared" ref="Q4:Q17" si="0">$I$62*(1-$C$18*(O4-$C$5))</f>
        <v>184.70270327264649</v>
      </c>
      <c r="R4" s="21">
        <f t="shared" ref="R4:R17" si="1">$I$62*(1-$C$18*(O4-$C$5)+0.5*$C$19*((O4-$C$5)^2))</f>
        <v>274.42544447409733</v>
      </c>
      <c r="U4" s="5"/>
      <c r="V4" s="4"/>
    </row>
    <row r="5" spans="2:23" x14ac:dyDescent="0.25">
      <c r="B5" s="34" t="s">
        <v>1</v>
      </c>
      <c r="C5" s="9">
        <v>5.2760000000000001E-2</v>
      </c>
      <c r="F5" s="11">
        <f t="shared" ref="F5:F61" si="2">EDATE(F4,6)</f>
        <v>46234</v>
      </c>
      <c r="G5" s="8">
        <v>2</v>
      </c>
      <c r="H5" s="52">
        <f t="shared" ref="H5:H60" si="3">$C$9</f>
        <v>2.1875</v>
      </c>
      <c r="I5" s="52">
        <f t="shared" ref="I5:I61" si="4">H5/(1+$C$6)^G5</f>
        <v>2.0764988746689865</v>
      </c>
      <c r="J5" s="29">
        <f t="shared" ref="J5:J61" si="5">I5/$I$62</f>
        <v>2.3951926333913603E-2</v>
      </c>
      <c r="K5" s="29">
        <f t="shared" ref="K5:K61" si="6">J5*G5</f>
        <v>4.7903852667827207E-2</v>
      </c>
      <c r="L5" s="29">
        <f t="shared" ref="L5:L61" si="7">G5*(G5+1)*I5</f>
        <v>12.458993248013918</v>
      </c>
      <c r="O5" s="10">
        <v>0.02</v>
      </c>
      <c r="P5" s="21">
        <v>106.40222996852486</v>
      </c>
      <c r="Q5" s="21">
        <f t="shared" si="0"/>
        <v>171.72491436327522</v>
      </c>
      <c r="R5" s="21">
        <f t="shared" si="1"/>
        <v>239.25951695033976</v>
      </c>
      <c r="U5" s="5"/>
      <c r="V5" s="4"/>
    </row>
    <row r="6" spans="2:23" x14ac:dyDescent="0.25">
      <c r="B6" s="34" t="s">
        <v>21</v>
      </c>
      <c r="C6" s="36">
        <f>C5/2</f>
        <v>2.6380000000000001E-2</v>
      </c>
      <c r="F6" s="11">
        <f t="shared" si="2"/>
        <v>46418</v>
      </c>
      <c r="G6" s="8">
        <v>3</v>
      </c>
      <c r="H6" s="52">
        <f t="shared" si="3"/>
        <v>2.1875</v>
      </c>
      <c r="I6" s="52">
        <f t="shared" si="4"/>
        <v>2.0231287385461396</v>
      </c>
      <c r="J6" s="29">
        <f t="shared" si="5"/>
        <v>2.3336314361068616E-2</v>
      </c>
      <c r="K6" s="29">
        <f t="shared" si="6"/>
        <v>7.0008943083205849E-2</v>
      </c>
      <c r="L6" s="29">
        <f t="shared" si="7"/>
        <v>24.277544862553675</v>
      </c>
      <c r="O6" s="10">
        <v>2.5000000000000001E-2</v>
      </c>
      <c r="P6" s="21">
        <v>90.484872743870909</v>
      </c>
      <c r="Q6" s="21">
        <f t="shared" si="0"/>
        <v>158.74712545390398</v>
      </c>
      <c r="R6" s="21">
        <f t="shared" si="1"/>
        <v>207.2399505460358</v>
      </c>
      <c r="U6" s="5"/>
      <c r="V6" s="4"/>
    </row>
    <row r="7" spans="2:23" x14ac:dyDescent="0.25">
      <c r="B7" s="34" t="s">
        <v>9</v>
      </c>
      <c r="C7" s="9">
        <v>4.3749999999999997E-2</v>
      </c>
      <c r="F7" s="11">
        <f t="shared" si="2"/>
        <v>46599</v>
      </c>
      <c r="G7" s="8">
        <v>4</v>
      </c>
      <c r="H7" s="52">
        <f t="shared" si="3"/>
        <v>2.1875</v>
      </c>
      <c r="I7" s="52">
        <f t="shared" si="4"/>
        <v>1.971130320686431</v>
      </c>
      <c r="J7" s="29">
        <f t="shared" si="5"/>
        <v>2.273652483589763E-2</v>
      </c>
      <c r="K7" s="29">
        <f t="shared" si="6"/>
        <v>9.094609934359052E-2</v>
      </c>
      <c r="L7" s="29">
        <f t="shared" si="7"/>
        <v>39.422606413728623</v>
      </c>
      <c r="O7" s="10">
        <v>0.03</v>
      </c>
      <c r="P7" s="21">
        <v>77.793558036623821</v>
      </c>
      <c r="Q7" s="21">
        <f t="shared" si="0"/>
        <v>145.76933654453273</v>
      </c>
      <c r="R7" s="21">
        <f t="shared" si="1"/>
        <v>178.36674526118534</v>
      </c>
      <c r="U7" s="5"/>
      <c r="V7" s="4"/>
    </row>
    <row r="8" spans="2:23" x14ac:dyDescent="0.25">
      <c r="B8" s="34" t="s">
        <v>2</v>
      </c>
      <c r="C8" s="52">
        <f>C4*C7</f>
        <v>4.375</v>
      </c>
      <c r="F8" s="11">
        <f t="shared" si="2"/>
        <v>46783</v>
      </c>
      <c r="G8" s="8">
        <v>5</v>
      </c>
      <c r="H8" s="52">
        <f t="shared" si="3"/>
        <v>2.1875</v>
      </c>
      <c r="I8" s="52">
        <f t="shared" si="4"/>
        <v>1.9204683652121348</v>
      </c>
      <c r="J8" s="29">
        <f t="shared" si="5"/>
        <v>2.2152151090139745E-2</v>
      </c>
      <c r="K8" s="29">
        <f t="shared" si="6"/>
        <v>0.11076075545069872</v>
      </c>
      <c r="L8" s="29">
        <f t="shared" si="7"/>
        <v>57.614050956364046</v>
      </c>
      <c r="O8" s="10">
        <v>3.5000000000000003E-2</v>
      </c>
      <c r="P8" s="21">
        <v>67.599070067360429</v>
      </c>
      <c r="Q8" s="21">
        <f t="shared" si="0"/>
        <v>132.79154763516146</v>
      </c>
      <c r="R8" s="21">
        <f t="shared" si="1"/>
        <v>152.63990109578836</v>
      </c>
      <c r="U8" s="5"/>
      <c r="V8" s="4"/>
    </row>
    <row r="9" spans="2:23" x14ac:dyDescent="0.25">
      <c r="B9" s="34" t="s">
        <v>26</v>
      </c>
      <c r="C9" s="52">
        <f>C8/2</f>
        <v>2.1875</v>
      </c>
      <c r="F9" s="11">
        <f t="shared" si="2"/>
        <v>46965</v>
      </c>
      <c r="G9" s="8">
        <v>6</v>
      </c>
      <c r="H9" s="52">
        <f t="shared" si="3"/>
        <v>2.1875</v>
      </c>
      <c r="I9" s="52">
        <f t="shared" si="4"/>
        <v>1.8711085223914481</v>
      </c>
      <c r="J9" s="29">
        <f t="shared" si="5"/>
        <v>2.1582796907714238E-2</v>
      </c>
      <c r="K9" s="29">
        <f t="shared" si="6"/>
        <v>0.12949678144628543</v>
      </c>
      <c r="L9" s="29">
        <f t="shared" si="7"/>
        <v>78.586557940440827</v>
      </c>
      <c r="O9" s="10">
        <v>0.04</v>
      </c>
      <c r="P9" s="21">
        <v>59.346410254034467</v>
      </c>
      <c r="Q9" s="21">
        <f t="shared" si="0"/>
        <v>119.81375872579021</v>
      </c>
      <c r="R9" s="21">
        <f t="shared" si="1"/>
        <v>130.05941804984494</v>
      </c>
      <c r="U9" s="5"/>
      <c r="V9" s="4"/>
    </row>
    <row r="10" spans="2:23" x14ac:dyDescent="0.25">
      <c r="B10" s="34" t="s">
        <v>4</v>
      </c>
      <c r="C10" s="11">
        <v>45869</v>
      </c>
      <c r="F10" s="11">
        <f t="shared" si="2"/>
        <v>47149</v>
      </c>
      <c r="G10" s="8">
        <v>7</v>
      </c>
      <c r="H10" s="52">
        <f t="shared" si="3"/>
        <v>2.1875</v>
      </c>
      <c r="I10" s="52">
        <f t="shared" si="4"/>
        <v>1.8230173253487481</v>
      </c>
      <c r="J10" s="29">
        <f t="shared" si="5"/>
        <v>2.1028076256078877E-2</v>
      </c>
      <c r="K10" s="29">
        <f t="shared" si="6"/>
        <v>0.14719653379255213</v>
      </c>
      <c r="L10" s="29">
        <f t="shared" si="7"/>
        <v>102.0889702195299</v>
      </c>
      <c r="O10" s="10">
        <v>4.4999999999999998E-2</v>
      </c>
      <c r="P10" s="21">
        <v>52.61170421237189</v>
      </c>
      <c r="Q10" s="21">
        <f t="shared" si="0"/>
        <v>106.83596981641897</v>
      </c>
      <c r="R10" s="21">
        <f t="shared" si="1"/>
        <v>110.62529612335506</v>
      </c>
      <c r="U10" s="5"/>
      <c r="V10" s="4"/>
    </row>
    <row r="11" spans="2:23" x14ac:dyDescent="0.25">
      <c r="B11" s="34" t="s">
        <v>15</v>
      </c>
      <c r="C11" s="11">
        <f>C10</f>
        <v>45869</v>
      </c>
      <c r="F11" s="11">
        <f t="shared" si="2"/>
        <v>47330</v>
      </c>
      <c r="G11" s="8">
        <v>8</v>
      </c>
      <c r="H11" s="52">
        <f t="shared" si="3"/>
        <v>2.1875</v>
      </c>
      <c r="I11" s="52">
        <f t="shared" si="4"/>
        <v>1.7761621673734362</v>
      </c>
      <c r="J11" s="29">
        <f t="shared" si="5"/>
        <v>2.048761302449275E-2</v>
      </c>
      <c r="K11" s="29">
        <f t="shared" si="6"/>
        <v>0.163900904195942</v>
      </c>
      <c r="L11" s="29">
        <f t="shared" si="7"/>
        <v>127.8836760508874</v>
      </c>
      <c r="O11" s="10">
        <v>0.05</v>
      </c>
      <c r="P11" s="21">
        <v>47.070038964841167</v>
      </c>
      <c r="Q11" s="21">
        <f t="shared" si="0"/>
        <v>93.858180907047696</v>
      </c>
      <c r="R11" s="21">
        <f t="shared" si="1"/>
        <v>94.337535316318679</v>
      </c>
      <c r="U11" s="5"/>
    </row>
    <row r="12" spans="2:23" x14ac:dyDescent="0.25">
      <c r="B12" s="34" t="s">
        <v>16</v>
      </c>
      <c r="C12" s="11">
        <f>EDATE(C11,6)</f>
        <v>46053</v>
      </c>
      <c r="F12" s="11">
        <f t="shared" si="2"/>
        <v>47514</v>
      </c>
      <c r="G12" s="8">
        <v>9</v>
      </c>
      <c r="H12" s="52">
        <f t="shared" si="3"/>
        <v>2.1875</v>
      </c>
      <c r="I12" s="52">
        <f t="shared" si="4"/>
        <v>1.7305112798119957</v>
      </c>
      <c r="J12" s="29">
        <f t="shared" si="5"/>
        <v>1.9961040769006361E-2</v>
      </c>
      <c r="K12" s="29">
        <f t="shared" si="6"/>
        <v>0.17964936692105726</v>
      </c>
      <c r="L12" s="29">
        <f t="shared" si="7"/>
        <v>155.74601518307961</v>
      </c>
      <c r="O12" s="10">
        <v>5.5E-2</v>
      </c>
      <c r="P12" s="21">
        <v>42.471401979703508</v>
      </c>
      <c r="Q12" s="21">
        <f t="shared" si="0"/>
        <v>80.880391997676455</v>
      </c>
      <c r="R12" s="21">
        <f t="shared" si="1"/>
        <v>81.19613562873586</v>
      </c>
      <c r="U12" s="5"/>
    </row>
    <row r="13" spans="2:23" x14ac:dyDescent="0.25">
      <c r="B13" s="34" t="s">
        <v>3</v>
      </c>
      <c r="C13" s="11">
        <v>46005</v>
      </c>
      <c r="F13" s="11">
        <f t="shared" si="2"/>
        <v>47695</v>
      </c>
      <c r="G13" s="8">
        <v>10</v>
      </c>
      <c r="H13" s="52">
        <f t="shared" si="3"/>
        <v>2.1875</v>
      </c>
      <c r="I13" s="52">
        <f t="shared" si="4"/>
        <v>1.6860337105282599</v>
      </c>
      <c r="J13" s="29">
        <f t="shared" si="5"/>
        <v>1.9448002464005885E-2</v>
      </c>
      <c r="K13" s="29">
        <f t="shared" si="6"/>
        <v>0.19448002464005884</v>
      </c>
      <c r="L13" s="29">
        <f t="shared" si="7"/>
        <v>185.4637081581086</v>
      </c>
      <c r="O13" s="10">
        <v>0.06</v>
      </c>
      <c r="P13" s="21">
        <v>38.622638103379167</v>
      </c>
      <c r="Q13" s="21">
        <f t="shared" si="0"/>
        <v>67.902603088305213</v>
      </c>
      <c r="R13" s="21">
        <f t="shared" si="1"/>
        <v>71.201097060606543</v>
      </c>
      <c r="U13" s="5"/>
    </row>
    <row r="14" spans="2:23" x14ac:dyDescent="0.25">
      <c r="B14" s="35" t="s">
        <v>5</v>
      </c>
      <c r="C14" s="15">
        <v>56461</v>
      </c>
      <c r="F14" s="11">
        <f t="shared" si="2"/>
        <v>47879</v>
      </c>
      <c r="G14" s="8">
        <v>11</v>
      </c>
      <c r="H14" s="52">
        <f t="shared" si="3"/>
        <v>2.1875</v>
      </c>
      <c r="I14" s="52">
        <f t="shared" si="4"/>
        <v>1.6426993029173016</v>
      </c>
      <c r="J14" s="29">
        <f t="shared" si="5"/>
        <v>1.8948150260143303E-2</v>
      </c>
      <c r="K14" s="29">
        <f t="shared" si="6"/>
        <v>0.20842965286157633</v>
      </c>
      <c r="L14" s="29">
        <f t="shared" si="7"/>
        <v>216.83630798508381</v>
      </c>
      <c r="O14" s="10">
        <v>6.5000000000000002E-2</v>
      </c>
      <c r="P14" s="21">
        <v>35.373885971030973</v>
      </c>
      <c r="Q14" s="21">
        <f t="shared" si="0"/>
        <v>54.924814178933936</v>
      </c>
      <c r="R14" s="21">
        <f t="shared" si="1"/>
        <v>64.352419611930756</v>
      </c>
      <c r="U14" s="5"/>
    </row>
    <row r="15" spans="2:23" x14ac:dyDescent="0.25">
      <c r="F15" s="11">
        <f t="shared" si="2"/>
        <v>48060</v>
      </c>
      <c r="G15" s="8">
        <v>12</v>
      </c>
      <c r="H15" s="52">
        <f t="shared" si="3"/>
        <v>2.1875</v>
      </c>
      <c r="I15" s="52">
        <f t="shared" si="4"/>
        <v>1.6004786754587008</v>
      </c>
      <c r="J15" s="29">
        <f t="shared" si="5"/>
        <v>1.8461145248488183E-2</v>
      </c>
      <c r="K15" s="29">
        <f t="shared" si="6"/>
        <v>0.22153374298185818</v>
      </c>
      <c r="L15" s="29">
        <f t="shared" si="7"/>
        <v>249.67467337155733</v>
      </c>
      <c r="O15" s="10">
        <v>7.0000000000000007E-2</v>
      </c>
      <c r="P15" s="21">
        <v>32.608355972918957</v>
      </c>
      <c r="Q15" s="21">
        <f t="shared" si="0"/>
        <v>41.947025269562673</v>
      </c>
      <c r="R15" s="21">
        <f t="shared" si="1"/>
        <v>60.6501032827085</v>
      </c>
      <c r="U15" s="5"/>
    </row>
    <row r="16" spans="2:23" x14ac:dyDescent="0.25">
      <c r="F16" s="11">
        <f t="shared" si="2"/>
        <v>48244</v>
      </c>
      <c r="G16" s="8">
        <v>13</v>
      </c>
      <c r="H16" s="52">
        <f t="shared" si="3"/>
        <v>2.1875</v>
      </c>
      <c r="I16" s="52">
        <f t="shared" si="4"/>
        <v>1.5593432017953395</v>
      </c>
      <c r="J16" s="29">
        <f t="shared" si="5"/>
        <v>1.7986657230741228E-2</v>
      </c>
      <c r="K16" s="29">
        <f t="shared" si="6"/>
        <v>0.23382654399963596</v>
      </c>
      <c r="L16" s="29">
        <f t="shared" si="7"/>
        <v>283.80046272675179</v>
      </c>
      <c r="O16" s="10">
        <v>7.4999999999999997E-2</v>
      </c>
      <c r="P16" s="21">
        <v>30.234606419858792</v>
      </c>
      <c r="Q16" s="21">
        <f t="shared" si="0"/>
        <v>28.969236360191442</v>
      </c>
      <c r="R16" s="21">
        <f t="shared" si="1"/>
        <v>60.094148072939774</v>
      </c>
      <c r="U16" s="5"/>
    </row>
    <row r="17" spans="2:21" x14ac:dyDescent="0.25">
      <c r="B17" s="25" t="s">
        <v>18</v>
      </c>
      <c r="C17" s="31">
        <f>K62</f>
        <v>31.518738288214358</v>
      </c>
      <c r="F17" s="11">
        <f t="shared" si="2"/>
        <v>48426</v>
      </c>
      <c r="G17" s="8">
        <v>14</v>
      </c>
      <c r="H17" s="52">
        <f t="shared" si="3"/>
        <v>2.1875</v>
      </c>
      <c r="I17" s="52">
        <f t="shared" si="4"/>
        <v>1.5192649913242067</v>
      </c>
      <c r="J17" s="29">
        <f t="shared" si="5"/>
        <v>1.752436449535379E-2</v>
      </c>
      <c r="K17" s="29">
        <f t="shared" si="6"/>
        <v>0.24534110293495306</v>
      </c>
      <c r="L17" s="29">
        <f t="shared" si="7"/>
        <v>319.04564817808341</v>
      </c>
      <c r="O17" s="41">
        <v>0.08</v>
      </c>
      <c r="P17" s="28">
        <v>28.180691611091145</v>
      </c>
      <c r="Q17" s="28">
        <f t="shared" si="0"/>
        <v>15.991447450820182</v>
      </c>
      <c r="R17" s="28">
        <f t="shared" si="1"/>
        <v>62.684553982624578</v>
      </c>
      <c r="U17" s="5"/>
    </row>
    <row r="18" spans="2:21" x14ac:dyDescent="0.25">
      <c r="B18" s="34" t="s">
        <v>19</v>
      </c>
      <c r="C18" s="8">
        <f>C17/(1+C5)</f>
        <v>29.939148797650329</v>
      </c>
      <c r="F18" s="11">
        <f t="shared" si="2"/>
        <v>48610</v>
      </c>
      <c r="G18" s="8">
        <v>15</v>
      </c>
      <c r="H18" s="52">
        <f t="shared" si="3"/>
        <v>2.1875</v>
      </c>
      <c r="I18" s="52">
        <f t="shared" si="4"/>
        <v>1.4802168702860603</v>
      </c>
      <c r="J18" s="29">
        <f t="shared" si="5"/>
        <v>1.7073953599401576E-2</v>
      </c>
      <c r="K18" s="29">
        <f t="shared" si="6"/>
        <v>0.25610930399102366</v>
      </c>
      <c r="L18" s="29">
        <f t="shared" si="7"/>
        <v>355.25204886865447</v>
      </c>
      <c r="O18" s="5"/>
      <c r="P18" s="39"/>
      <c r="Q18" s="38"/>
      <c r="R18" s="38"/>
      <c r="U18" s="5"/>
    </row>
    <row r="19" spans="2:21" x14ac:dyDescent="0.25">
      <c r="B19" s="35" t="s">
        <v>20</v>
      </c>
      <c r="C19" s="20">
        <f>L62/I62</f>
        <v>1451.7014321051179</v>
      </c>
      <c r="F19" s="11">
        <f t="shared" si="2"/>
        <v>48791</v>
      </c>
      <c r="G19" s="8">
        <v>16</v>
      </c>
      <c r="H19" s="52">
        <f t="shared" si="3"/>
        <v>2.1875</v>
      </c>
      <c r="I19" s="52">
        <f t="shared" si="4"/>
        <v>1.4421723633411212</v>
      </c>
      <c r="J19" s="29">
        <f t="shared" si="5"/>
        <v>1.6635119156064589E-2</v>
      </c>
      <c r="K19" s="29">
        <f t="shared" si="6"/>
        <v>0.26616190649703342</v>
      </c>
      <c r="L19" s="29">
        <f t="shared" si="7"/>
        <v>392.27088282878498</v>
      </c>
      <c r="O19" s="5"/>
      <c r="P19" s="39"/>
      <c r="Q19" s="38"/>
      <c r="R19" s="38"/>
      <c r="U19" s="5"/>
    </row>
    <row r="20" spans="2:21" x14ac:dyDescent="0.25">
      <c r="F20" s="11">
        <f t="shared" si="2"/>
        <v>48975</v>
      </c>
      <c r="G20" s="8">
        <v>17</v>
      </c>
      <c r="H20" s="52">
        <f t="shared" si="3"/>
        <v>2.1875</v>
      </c>
      <c r="I20" s="52">
        <f t="shared" si="4"/>
        <v>1.40510567561831</v>
      </c>
      <c r="J20" s="29">
        <f t="shared" si="5"/>
        <v>1.6207563627569307E-2</v>
      </c>
      <c r="K20" s="29">
        <f t="shared" si="6"/>
        <v>0.27552858166867822</v>
      </c>
      <c r="L20" s="29">
        <f t="shared" si="7"/>
        <v>429.96233673920284</v>
      </c>
      <c r="O20" s="5"/>
      <c r="P20" s="39"/>
      <c r="Q20" s="38"/>
      <c r="R20" s="38"/>
      <c r="U20" s="5"/>
    </row>
    <row r="21" spans="2:21" x14ac:dyDescent="0.25">
      <c r="F21" s="11">
        <f t="shared" si="2"/>
        <v>49156</v>
      </c>
      <c r="G21" s="8">
        <v>18</v>
      </c>
      <c r="H21" s="52">
        <f t="shared" si="3"/>
        <v>2.1875</v>
      </c>
      <c r="I21" s="52">
        <f t="shared" si="4"/>
        <v>1.3689916752258517</v>
      </c>
      <c r="J21" s="29">
        <f t="shared" si="5"/>
        <v>1.5790997123452624E-2</v>
      </c>
      <c r="K21" s="29">
        <f t="shared" si="6"/>
        <v>0.28423794822214721</v>
      </c>
      <c r="L21" s="29">
        <f t="shared" si="7"/>
        <v>468.19515292724128</v>
      </c>
      <c r="O21" s="5"/>
      <c r="P21" s="39"/>
      <c r="Q21" s="38"/>
      <c r="R21" s="38"/>
      <c r="U21" s="5"/>
    </row>
    <row r="22" spans="2:21" x14ac:dyDescent="0.25">
      <c r="F22" s="11">
        <f t="shared" si="2"/>
        <v>49340</v>
      </c>
      <c r="G22" s="8">
        <v>19</v>
      </c>
      <c r="H22" s="52">
        <f t="shared" si="3"/>
        <v>2.1875</v>
      </c>
      <c r="I22" s="52">
        <f t="shared" si="4"/>
        <v>1.3338058762113951</v>
      </c>
      <c r="J22" s="29">
        <f t="shared" si="5"/>
        <v>1.5385137204010819E-2</v>
      </c>
      <c r="K22" s="29">
        <f t="shared" si="6"/>
        <v>0.29231760687620556</v>
      </c>
      <c r="L22" s="29">
        <f t="shared" si="7"/>
        <v>506.84623296033016</v>
      </c>
    </row>
    <row r="23" spans="2:21" x14ac:dyDescent="0.25">
      <c r="F23" s="11">
        <f t="shared" si="2"/>
        <v>49521</v>
      </c>
      <c r="G23" s="8">
        <v>20</v>
      </c>
      <c r="H23" s="52">
        <f t="shared" si="3"/>
        <v>2.1875</v>
      </c>
      <c r="I23" s="52">
        <f t="shared" si="4"/>
        <v>1.2995244219600879</v>
      </c>
      <c r="J23" s="29">
        <f t="shared" si="5"/>
        <v>1.4989708688800266E-2</v>
      </c>
      <c r="K23" s="29">
        <f t="shared" si="6"/>
        <v>0.29979417377600531</v>
      </c>
      <c r="L23" s="29">
        <f t="shared" si="7"/>
        <v>545.80025722323694</v>
      </c>
    </row>
    <row r="24" spans="2:21" x14ac:dyDescent="0.25">
      <c r="F24" s="11">
        <f t="shared" si="2"/>
        <v>49705</v>
      </c>
      <c r="G24" s="8">
        <v>21</v>
      </c>
      <c r="H24" s="52">
        <f t="shared" si="3"/>
        <v>2.1875</v>
      </c>
      <c r="I24" s="52">
        <f t="shared" si="4"/>
        <v>1.2661240690193571</v>
      </c>
      <c r="J24" s="29">
        <f t="shared" si="5"/>
        <v>1.4604443470060081E-2</v>
      </c>
      <c r="K24" s="29">
        <f t="shared" si="6"/>
        <v>0.30669331287126173</v>
      </c>
      <c r="L24" s="29">
        <f t="shared" si="7"/>
        <v>584.94931988694304</v>
      </c>
    </row>
    <row r="25" spans="2:21" x14ac:dyDescent="0.25">
      <c r="F25" s="11">
        <f t="shared" si="2"/>
        <v>49887</v>
      </c>
      <c r="G25" s="8">
        <v>22</v>
      </c>
      <c r="H25" s="52">
        <f t="shared" si="3"/>
        <v>2.1875</v>
      </c>
      <c r="I25" s="52">
        <f t="shared" si="4"/>
        <v>1.2335821713394231</v>
      </c>
      <c r="J25" s="29">
        <f t="shared" si="5"/>
        <v>1.4229080330930143E-2</v>
      </c>
      <c r="K25" s="29">
        <f t="shared" si="6"/>
        <v>0.31303976728046312</v>
      </c>
      <c r="L25" s="29">
        <f t="shared" si="7"/>
        <v>624.1925786977481</v>
      </c>
    </row>
    <row r="26" spans="2:21" x14ac:dyDescent="0.25">
      <c r="F26" s="11">
        <f t="shared" si="2"/>
        <v>50071</v>
      </c>
      <c r="G26" s="8">
        <v>23</v>
      </c>
      <c r="H26" s="52">
        <f t="shared" si="3"/>
        <v>2.1875</v>
      </c>
      <c r="I26" s="52">
        <f t="shared" si="4"/>
        <v>1.2018766649188635</v>
      </c>
      <c r="J26" s="29">
        <f t="shared" si="5"/>
        <v>1.3863364768341298E-2</v>
      </c>
      <c r="K26" s="29">
        <f t="shared" si="6"/>
        <v>0.31885738967184984</v>
      </c>
      <c r="L26" s="29">
        <f t="shared" si="7"/>
        <v>663.43591903521269</v>
      </c>
    </row>
    <row r="27" spans="2:21" x14ac:dyDescent="0.25">
      <c r="F27" s="11">
        <f t="shared" si="2"/>
        <v>50252</v>
      </c>
      <c r="G27" s="8">
        <v>24</v>
      </c>
      <c r="H27" s="52">
        <f t="shared" si="3"/>
        <v>2.1875</v>
      </c>
      <c r="I27" s="52">
        <f t="shared" si="4"/>
        <v>1.1709860528448168</v>
      </c>
      <c r="J27" s="29">
        <f t="shared" si="5"/>
        <v>1.3507048820457623E-2</v>
      </c>
      <c r="K27" s="29">
        <f t="shared" si="6"/>
        <v>0.32416917169098292</v>
      </c>
      <c r="L27" s="29">
        <f t="shared" si="7"/>
        <v>702.5916317068901</v>
      </c>
    </row>
    <row r="28" spans="2:21" x14ac:dyDescent="0.25">
      <c r="F28" s="11">
        <f t="shared" si="2"/>
        <v>50436</v>
      </c>
      <c r="G28" s="8">
        <v>25</v>
      </c>
      <c r="H28" s="52">
        <f t="shared" si="3"/>
        <v>2.1875</v>
      </c>
      <c r="I28" s="52">
        <f t="shared" si="4"/>
        <v>1.1408893907176842</v>
      </c>
      <c r="J28" s="29">
        <f t="shared" si="5"/>
        <v>1.3159890898553774E-2</v>
      </c>
      <c r="K28" s="29">
        <f t="shared" si="6"/>
        <v>0.32899727246384436</v>
      </c>
      <c r="L28" s="29">
        <f t="shared" si="7"/>
        <v>741.57810396649472</v>
      </c>
    </row>
    <row r="29" spans="2:21" x14ac:dyDescent="0.25">
      <c r="F29" s="11">
        <f t="shared" si="2"/>
        <v>50617</v>
      </c>
      <c r="G29" s="8">
        <v>26</v>
      </c>
      <c r="H29" s="52">
        <f t="shared" si="3"/>
        <v>2.1875</v>
      </c>
      <c r="I29" s="52">
        <f t="shared" si="4"/>
        <v>1.1115662724504412</v>
      </c>
      <c r="J29" s="29">
        <f t="shared" si="5"/>
        <v>1.2821655623213399E-2</v>
      </c>
      <c r="K29" s="29">
        <f t="shared" si="6"/>
        <v>0.3333630462035484</v>
      </c>
      <c r="L29" s="29">
        <f t="shared" si="7"/>
        <v>780.31952326020973</v>
      </c>
    </row>
    <row r="30" spans="2:21" x14ac:dyDescent="0.25">
      <c r="F30" s="11">
        <f t="shared" si="2"/>
        <v>50801</v>
      </c>
      <c r="G30" s="8">
        <v>27</v>
      </c>
      <c r="H30" s="52">
        <f t="shared" si="3"/>
        <v>2.1875</v>
      </c>
      <c r="I30" s="52">
        <f t="shared" si="4"/>
        <v>1.0829968164329404</v>
      </c>
      <c r="J30" s="29">
        <f t="shared" si="5"/>
        <v>1.2492113664737623E-2</v>
      </c>
      <c r="K30" s="29">
        <f t="shared" si="6"/>
        <v>0.33728706894791582</v>
      </c>
      <c r="L30" s="29">
        <f t="shared" si="7"/>
        <v>818.74559322330299</v>
      </c>
    </row>
    <row r="31" spans="2:21" x14ac:dyDescent="0.25">
      <c r="F31" s="11">
        <f t="shared" si="2"/>
        <v>50982</v>
      </c>
      <c r="G31" s="8">
        <v>28</v>
      </c>
      <c r="H31" s="52">
        <f t="shared" si="3"/>
        <v>2.1875</v>
      </c>
      <c r="I31" s="52">
        <f t="shared" si="4"/>
        <v>1.0551616520518132</v>
      </c>
      <c r="J31" s="29">
        <f t="shared" si="5"/>
        <v>1.2171041587655272E-2</v>
      </c>
      <c r="K31" s="29">
        <f t="shared" si="6"/>
        <v>0.34078916445434759</v>
      </c>
      <c r="L31" s="29">
        <f t="shared" si="7"/>
        <v>856.79126146607234</v>
      </c>
    </row>
    <row r="32" spans="2:21" x14ac:dyDescent="0.25">
      <c r="F32" s="11">
        <f t="shared" si="2"/>
        <v>51166</v>
      </c>
      <c r="G32" s="8">
        <v>29</v>
      </c>
      <c r="H32" s="52">
        <f t="shared" si="3"/>
        <v>2.1875</v>
      </c>
      <c r="I32" s="52">
        <f t="shared" si="4"/>
        <v>1.0280419065568438</v>
      </c>
      <c r="J32" s="29">
        <f t="shared" si="5"/>
        <v>1.1858221699229596E-2</v>
      </c>
      <c r="K32" s="29">
        <f t="shared" si="6"/>
        <v>0.34388842927765828</v>
      </c>
      <c r="L32" s="29">
        <f t="shared" si="7"/>
        <v>894.39645870445406</v>
      </c>
    </row>
    <row r="33" spans="6:12" x14ac:dyDescent="0.25">
      <c r="F33" s="11">
        <f t="shared" si="2"/>
        <v>51348</v>
      </c>
      <c r="G33" s="8">
        <v>30</v>
      </c>
      <c r="H33" s="52">
        <f t="shared" si="3"/>
        <v>2.1875</v>
      </c>
      <c r="I33" s="52">
        <f t="shared" si="4"/>
        <v>1.0016191922648956</v>
      </c>
      <c r="J33" s="29">
        <f t="shared" si="5"/>
        <v>1.1553441901858565E-2</v>
      </c>
      <c r="K33" s="29">
        <f t="shared" si="6"/>
        <v>0.34660325705575695</v>
      </c>
      <c r="L33" s="29">
        <f t="shared" si="7"/>
        <v>931.5058488063529</v>
      </c>
    </row>
    <row r="34" spans="6:12" x14ac:dyDescent="0.25">
      <c r="F34" s="11">
        <f t="shared" si="2"/>
        <v>51532</v>
      </c>
      <c r="G34" s="8">
        <v>31</v>
      </c>
      <c r="H34" s="52">
        <f t="shared" si="3"/>
        <v>2.1875</v>
      </c>
      <c r="I34" s="52">
        <f t="shared" si="4"/>
        <v>0.97587559409272928</v>
      </c>
      <c r="J34" s="29">
        <f t="shared" si="5"/>
        <v>1.1256495549268851E-2</v>
      </c>
      <c r="K34" s="29">
        <f t="shared" si="6"/>
        <v>0.3489513620273344</v>
      </c>
      <c r="L34" s="29">
        <f t="shared" si="7"/>
        <v>968.0685893399874</v>
      </c>
    </row>
    <row r="35" spans="6:12" x14ac:dyDescent="0.25">
      <c r="F35" s="11">
        <f t="shared" si="2"/>
        <v>51713</v>
      </c>
      <c r="G35" s="8">
        <v>32</v>
      </c>
      <c r="H35" s="52">
        <f t="shared" si="3"/>
        <v>2.1875</v>
      </c>
      <c r="I35" s="52">
        <f t="shared" si="4"/>
        <v>0.9507936574102468</v>
      </c>
      <c r="J35" s="29">
        <f t="shared" si="5"/>
        <v>1.0967181306405862E-2</v>
      </c>
      <c r="K35" s="29">
        <f t="shared" si="6"/>
        <v>0.35094980180498758</v>
      </c>
      <c r="L35" s="29">
        <f t="shared" si="7"/>
        <v>1004.0381022252207</v>
      </c>
    </row>
    <row r="36" spans="6:12" x14ac:dyDescent="0.25">
      <c r="F36" s="11">
        <f t="shared" si="2"/>
        <v>51897</v>
      </c>
      <c r="G36" s="8">
        <v>33</v>
      </c>
      <c r="H36" s="52">
        <f t="shared" si="3"/>
        <v>2.1875</v>
      </c>
      <c r="I36" s="52">
        <f t="shared" si="4"/>
        <v>0.92635637620593436</v>
      </c>
      <c r="J36" s="29">
        <f t="shared" si="5"/>
        <v>1.0685303012924904E-2</v>
      </c>
      <c r="K36" s="29">
        <f t="shared" si="6"/>
        <v>0.35261499942652186</v>
      </c>
      <c r="L36" s="29">
        <f t="shared" si="7"/>
        <v>1039.3718541030585</v>
      </c>
    </row>
    <row r="37" spans="6:12" x14ac:dyDescent="0.25">
      <c r="F37" s="11">
        <f t="shared" si="2"/>
        <v>52078</v>
      </c>
      <c r="G37" s="8">
        <v>34</v>
      </c>
      <c r="H37" s="52">
        <f t="shared" si="3"/>
        <v>2.1875</v>
      </c>
      <c r="I37" s="52">
        <f t="shared" si="4"/>
        <v>0.9025471815564744</v>
      </c>
      <c r="J37" s="29">
        <f t="shared" si="5"/>
        <v>1.0410669550190868E-2</v>
      </c>
      <c r="K37" s="29">
        <f t="shared" si="6"/>
        <v>0.35396276470648952</v>
      </c>
      <c r="L37" s="29">
        <f t="shared" si="7"/>
        <v>1074.0311460522046</v>
      </c>
    </row>
    <row r="38" spans="6:12" x14ac:dyDescent="0.25">
      <c r="F38" s="11">
        <f t="shared" si="2"/>
        <v>52262</v>
      </c>
      <c r="G38" s="8">
        <v>35</v>
      </c>
      <c r="H38" s="52">
        <f t="shared" si="3"/>
        <v>2.1875</v>
      </c>
      <c r="I38" s="52">
        <f t="shared" si="4"/>
        <v>0.87934993039271447</v>
      </c>
      <c r="J38" s="29">
        <f t="shared" si="5"/>
        <v>1.0143094711696318E-2</v>
      </c>
      <c r="K38" s="29">
        <f t="shared" si="6"/>
        <v>0.35500831490937113</v>
      </c>
      <c r="L38" s="29">
        <f t="shared" si="7"/>
        <v>1107.9809122948202</v>
      </c>
    </row>
    <row r="39" spans="6:12" x14ac:dyDescent="0.25">
      <c r="F39" s="11">
        <f t="shared" si="2"/>
        <v>52443</v>
      </c>
      <c r="G39" s="8">
        <v>36</v>
      </c>
      <c r="H39" s="52">
        <f t="shared" si="3"/>
        <v>2.1875</v>
      </c>
      <c r="I39" s="52">
        <f t="shared" si="4"/>
        <v>0.85674889455436998</v>
      </c>
      <c r="J39" s="29">
        <f t="shared" si="5"/>
        <v>9.8823970768100663E-3</v>
      </c>
      <c r="K39" s="29">
        <f t="shared" si="6"/>
        <v>0.35576629476516242</v>
      </c>
      <c r="L39" s="29">
        <f t="shared" si="7"/>
        <v>1141.1895275464208</v>
      </c>
    </row>
    <row r="40" spans="6:12" x14ac:dyDescent="0.25">
      <c r="F40" s="11">
        <f t="shared" si="2"/>
        <v>52627</v>
      </c>
      <c r="G40" s="8">
        <v>37</v>
      </c>
      <c r="H40" s="52">
        <f t="shared" si="3"/>
        <v>2.1875</v>
      </c>
      <c r="I40" s="52">
        <f t="shared" si="4"/>
        <v>0.83472875012604497</v>
      </c>
      <c r="J40" s="29">
        <f t="shared" si="5"/>
        <v>9.6283998877706757E-3</v>
      </c>
      <c r="K40" s="29">
        <f t="shared" si="6"/>
        <v>0.35625079584751501</v>
      </c>
      <c r="L40" s="29">
        <f t="shared" si="7"/>
        <v>1173.6286226772193</v>
      </c>
    </row>
    <row r="41" spans="6:12" x14ac:dyDescent="0.25">
      <c r="F41" s="11">
        <f t="shared" si="2"/>
        <v>52809</v>
      </c>
      <c r="G41" s="8">
        <v>38</v>
      </c>
      <c r="H41" s="52">
        <f t="shared" si="3"/>
        <v>2.1875</v>
      </c>
      <c r="I41" s="52">
        <f t="shared" si="4"/>
        <v>0.81327456704733614</v>
      </c>
      <c r="J41" s="29">
        <f t="shared" si="5"/>
        <v>9.3809309298414564E-3</v>
      </c>
      <c r="K41" s="29">
        <f t="shared" si="6"/>
        <v>0.35647537533397533</v>
      </c>
      <c r="L41" s="29">
        <f t="shared" si="7"/>
        <v>1205.272908364152</v>
      </c>
    </row>
    <row r="42" spans="6:12" x14ac:dyDescent="0.25">
      <c r="F42" s="11">
        <f t="shared" si="2"/>
        <v>52993</v>
      </c>
      <c r="G42" s="8">
        <v>39</v>
      </c>
      <c r="H42" s="52">
        <f t="shared" si="3"/>
        <v>2.1875</v>
      </c>
      <c r="I42" s="52">
        <f t="shared" si="4"/>
        <v>0.79237179898998045</v>
      </c>
      <c r="J42" s="29">
        <f t="shared" si="5"/>
        <v>9.1398224145457403E-3</v>
      </c>
      <c r="K42" s="29">
        <f t="shared" si="6"/>
        <v>0.35645307416728389</v>
      </c>
      <c r="L42" s="29">
        <f t="shared" si="7"/>
        <v>1236.1000064243694</v>
      </c>
    </row>
    <row r="43" spans="6:12" x14ac:dyDescent="0.25">
      <c r="F43" s="11">
        <f t="shared" si="2"/>
        <v>53174</v>
      </c>
      <c r="G43" s="8">
        <v>40</v>
      </c>
      <c r="H43" s="52">
        <f t="shared" si="3"/>
        <v>2.1875</v>
      </c>
      <c r="I43" s="52">
        <f t="shared" si="4"/>
        <v>0.77200627349517736</v>
      </c>
      <c r="J43" s="29">
        <f t="shared" si="5"/>
        <v>8.9049108659032105E-3</v>
      </c>
      <c r="K43" s="29">
        <f t="shared" si="6"/>
        <v>0.35619643463612843</v>
      </c>
      <c r="L43" s="29">
        <f t="shared" si="7"/>
        <v>1266.0902885320909</v>
      </c>
    </row>
    <row r="44" spans="6:12" x14ac:dyDescent="0.25">
      <c r="F44" s="11">
        <f t="shared" si="2"/>
        <v>53358</v>
      </c>
      <c r="G44" s="8">
        <v>41</v>
      </c>
      <c r="H44" s="52">
        <f t="shared" si="3"/>
        <v>2.1875</v>
      </c>
      <c r="I44" s="52">
        <f t="shared" si="4"/>
        <v>0.75216418236440441</v>
      </c>
      <c r="J44" s="29">
        <f t="shared" si="5"/>
        <v>8.6760370095902203E-3</v>
      </c>
      <c r="K44" s="29">
        <f t="shared" si="6"/>
        <v>0.35571751739319901</v>
      </c>
      <c r="L44" s="29">
        <f t="shared" si="7"/>
        <v>1295.2267220315043</v>
      </c>
    </row>
    <row r="45" spans="6:12" x14ac:dyDescent="0.25">
      <c r="F45" s="11">
        <f t="shared" si="2"/>
        <v>53539</v>
      </c>
      <c r="G45" s="8">
        <v>42</v>
      </c>
      <c r="H45" s="52">
        <f t="shared" si="3"/>
        <v>2.1875</v>
      </c>
      <c r="I45" s="52">
        <f t="shared" si="4"/>
        <v>0.73283207229720382</v>
      </c>
      <c r="J45" s="29">
        <f t="shared" si="5"/>
        <v>8.4530456649488661E-3</v>
      </c>
      <c r="K45" s="29">
        <f t="shared" si="6"/>
        <v>0.35502791792785238</v>
      </c>
      <c r="L45" s="29">
        <f t="shared" si="7"/>
        <v>1323.4947225687501</v>
      </c>
    </row>
    <row r="46" spans="6:12" x14ac:dyDescent="0.25">
      <c r="F46" s="11">
        <f t="shared" si="2"/>
        <v>53723</v>
      </c>
      <c r="G46" s="8">
        <v>43</v>
      </c>
      <c r="H46" s="52">
        <f t="shared" si="3"/>
        <v>2.1875</v>
      </c>
      <c r="I46" s="52">
        <f t="shared" si="4"/>
        <v>0.71399683576960182</v>
      </c>
      <c r="J46" s="29">
        <f t="shared" si="5"/>
        <v>8.2357856397716894E-3</v>
      </c>
      <c r="K46" s="29">
        <f t="shared" si="6"/>
        <v>0.35413878251018266</v>
      </c>
      <c r="L46" s="29">
        <f t="shared" si="7"/>
        <v>1350.8820132760866</v>
      </c>
    </row>
    <row r="47" spans="6:12" x14ac:dyDescent="0.25">
      <c r="F47" s="11">
        <f>EDATE(F46,6)</f>
        <v>53904</v>
      </c>
      <c r="G47" s="8">
        <v>44</v>
      </c>
      <c r="H47" s="52">
        <f t="shared" si="3"/>
        <v>2.1875</v>
      </c>
      <c r="I47" s="52">
        <f t="shared" si="4"/>
        <v>0.69564570214696486</v>
      </c>
      <c r="J47" s="29">
        <f t="shared" si="5"/>
        <v>8.0241096277905745E-3</v>
      </c>
      <c r="K47" s="29">
        <f t="shared" si="6"/>
        <v>0.35306082362278529</v>
      </c>
      <c r="L47" s="29">
        <f t="shared" si="7"/>
        <v>1377.3784902509904</v>
      </c>
    </row>
    <row r="48" spans="6:12" x14ac:dyDescent="0.25">
      <c r="F48" s="11">
        <f t="shared" si="2"/>
        <v>54088</v>
      </c>
      <c r="G48" s="8">
        <v>45</v>
      </c>
      <c r="H48" s="52">
        <f t="shared" si="3"/>
        <v>2.1875</v>
      </c>
      <c r="I48" s="52">
        <f t="shared" si="4"/>
        <v>0.67776622902527794</v>
      </c>
      <c r="J48" s="29">
        <f t="shared" si="5"/>
        <v>7.8178741088004173E-3</v>
      </c>
      <c r="K48" s="29">
        <f t="shared" si="6"/>
        <v>0.35180433489601876</v>
      </c>
      <c r="L48" s="29">
        <f t="shared" si="7"/>
        <v>1402.9760940823253</v>
      </c>
    </row>
    <row r="49" spans="6:12" x14ac:dyDescent="0.25">
      <c r="F49" s="11">
        <f t="shared" si="2"/>
        <v>54270</v>
      </c>
      <c r="G49" s="8">
        <v>46</v>
      </c>
      <c r="H49" s="52">
        <f t="shared" si="3"/>
        <v>2.1875</v>
      </c>
      <c r="I49" s="52">
        <f t="shared" si="4"/>
        <v>0.66034629379496668</v>
      </c>
      <c r="J49" s="29">
        <f t="shared" si="5"/>
        <v>7.6169392513498095E-3</v>
      </c>
      <c r="K49" s="29">
        <f t="shared" si="6"/>
        <v>0.35037920556209123</v>
      </c>
      <c r="L49" s="29">
        <f t="shared" si="7"/>
        <v>1427.668687184718</v>
      </c>
    </row>
    <row r="50" spans="6:12" x14ac:dyDescent="0.25">
      <c r="F50" s="11">
        <f t="shared" si="2"/>
        <v>54454</v>
      </c>
      <c r="G50" s="8">
        <v>47</v>
      </c>
      <c r="H50" s="52">
        <f t="shared" si="3"/>
        <v>2.1875</v>
      </c>
      <c r="I50" s="52">
        <f t="shared" si="4"/>
        <v>0.64337408542154617</v>
      </c>
      <c r="J50" s="29">
        <f t="shared" si="5"/>
        <v>7.4211688179327421E-3</v>
      </c>
      <c r="K50" s="29">
        <f t="shared" si="6"/>
        <v>0.34879493444283888</v>
      </c>
      <c r="L50" s="29">
        <f t="shared" si="7"/>
        <v>1451.4519367110081</v>
      </c>
    </row>
    <row r="51" spans="6:12" x14ac:dyDescent="0.25">
      <c r="F51" s="11">
        <f t="shared" si="2"/>
        <v>54635</v>
      </c>
      <c r="G51" s="8">
        <v>48</v>
      </c>
      <c r="H51" s="52">
        <f t="shared" si="3"/>
        <v>2.1875</v>
      </c>
      <c r="I51" s="52">
        <f t="shared" si="4"/>
        <v>0.62683809643752408</v>
      </c>
      <c r="J51" s="29">
        <f t="shared" si="5"/>
        <v>7.2304300726171011E-3</v>
      </c>
      <c r="K51" s="29">
        <f t="shared" si="6"/>
        <v>0.34706064348562082</v>
      </c>
      <c r="L51" s="29">
        <f t="shared" si="7"/>
        <v>1474.3232028210566</v>
      </c>
    </row>
    <row r="52" spans="6:12" x14ac:dyDescent="0.25">
      <c r="F52" s="11">
        <f t="shared" si="2"/>
        <v>54819</v>
      </c>
      <c r="G52" s="8">
        <v>49</v>
      </c>
      <c r="H52" s="52">
        <f t="shared" si="3"/>
        <v>2.1875</v>
      </c>
      <c r="I52" s="52">
        <f t="shared" si="4"/>
        <v>0.61072711514012745</v>
      </c>
      <c r="J52" s="29">
        <f t="shared" si="5"/>
        <v>7.0445936910472733E-3</v>
      </c>
      <c r="K52" s="29">
        <f t="shared" si="6"/>
        <v>0.34518509086131638</v>
      </c>
      <c r="L52" s="29">
        <f t="shared" si="7"/>
        <v>1496.2814320933123</v>
      </c>
    </row>
    <row r="53" spans="6:12" x14ac:dyDescent="0.25">
      <c r="F53" s="11">
        <f t="shared" si="2"/>
        <v>55000</v>
      </c>
      <c r="G53" s="8">
        <v>50</v>
      </c>
      <c r="H53" s="52">
        <f t="shared" si="3"/>
        <v>2.1875</v>
      </c>
      <c r="I53" s="52">
        <f t="shared" si="4"/>
        <v>0.59503021798956268</v>
      </c>
      <c r="J53" s="29">
        <f t="shared" si="5"/>
        <v>6.8635336727598667E-3</v>
      </c>
      <c r="K53" s="29">
        <f t="shared" si="6"/>
        <v>0.34317668363799336</v>
      </c>
      <c r="L53" s="29">
        <f t="shared" si="7"/>
        <v>1517.3270558733848</v>
      </c>
    </row>
    <row r="54" spans="6:12" x14ac:dyDescent="0.25">
      <c r="F54" s="11">
        <f>EDATE(F53,6)</f>
        <v>55184</v>
      </c>
      <c r="G54" s="8">
        <v>51</v>
      </c>
      <c r="H54" s="52">
        <f t="shared" si="3"/>
        <v>2.1875</v>
      </c>
      <c r="I54" s="52">
        <f t="shared" si="4"/>
        <v>0.57973676220265657</v>
      </c>
      <c r="J54" s="29">
        <f t="shared" si="5"/>
        <v>6.6871272557530994E-3</v>
      </c>
      <c r="K54" s="29">
        <f t="shared" si="6"/>
        <v>0.34104349004340806</v>
      </c>
      <c r="L54" s="29">
        <f t="shared" si="7"/>
        <v>1537.4618933614452</v>
      </c>
    </row>
    <row r="55" spans="6:12" x14ac:dyDescent="0.25">
      <c r="F55" s="11">
        <f t="shared" si="2"/>
        <v>55365</v>
      </c>
      <c r="G55" s="8">
        <v>52</v>
      </c>
      <c r="H55" s="52">
        <f t="shared" si="3"/>
        <v>2.1875</v>
      </c>
      <c r="I55" s="52">
        <f t="shared" si="4"/>
        <v>0.56483637853685431</v>
      </c>
      <c r="J55" s="29">
        <f t="shared" si="5"/>
        <v>6.5152548332519135E-3</v>
      </c>
      <c r="K55" s="29">
        <f t="shared" si="6"/>
        <v>0.33879325132909949</v>
      </c>
      <c r="L55" s="29">
        <f t="shared" si="7"/>
        <v>1556.6890592475704</v>
      </c>
    </row>
    <row r="56" spans="6:12" x14ac:dyDescent="0.25">
      <c r="F56" s="11">
        <f t="shared" si="2"/>
        <v>55549</v>
      </c>
      <c r="G56" s="8">
        <v>53</v>
      </c>
      <c r="H56" s="52">
        <f t="shared" si="3"/>
        <v>2.1875</v>
      </c>
      <c r="I56" s="52">
        <f t="shared" si="4"/>
        <v>0.55031896425968385</v>
      </c>
      <c r="J56" s="29">
        <f t="shared" si="5"/>
        <v>6.3477998726123985E-3</v>
      </c>
      <c r="K56" s="29">
        <f t="shared" si="6"/>
        <v>0.33643339324845711</v>
      </c>
      <c r="L56" s="29">
        <f t="shared" si="7"/>
        <v>1575.0128757112152</v>
      </c>
    </row>
    <row r="57" spans="6:12" x14ac:dyDescent="0.25">
      <c r="F57" s="11">
        <f t="shared" si="2"/>
        <v>55731</v>
      </c>
      <c r="G57" s="8">
        <v>54</v>
      </c>
      <c r="H57" s="52">
        <f t="shared" si="3"/>
        <v>2.1875</v>
      </c>
      <c r="I57" s="52">
        <f t="shared" si="4"/>
        <v>0.53617467629891824</v>
      </c>
      <c r="J57" s="29">
        <f t="shared" si="5"/>
        <v>6.1846488363105252E-3</v>
      </c>
      <c r="K57" s="29">
        <f t="shared" si="6"/>
        <v>0.33397103716076837</v>
      </c>
      <c r="L57" s="29">
        <f t="shared" si="7"/>
        <v>1592.4387886077873</v>
      </c>
    </row>
    <row r="58" spans="6:12" x14ac:dyDescent="0.25">
      <c r="F58" s="11">
        <f t="shared" si="2"/>
        <v>55915</v>
      </c>
      <c r="G58" s="8">
        <v>55</v>
      </c>
      <c r="H58" s="52">
        <f t="shared" si="3"/>
        <v>2.1875</v>
      </c>
      <c r="I58" s="52">
        <f t="shared" si="4"/>
        <v>0.52239392456879352</v>
      </c>
      <c r="J58" s="29">
        <f t="shared" si="5"/>
        <v>6.0256911049616372E-3</v>
      </c>
      <c r="K58" s="29">
        <f t="shared" si="6"/>
        <v>0.33141301077289004</v>
      </c>
      <c r="L58" s="29">
        <f t="shared" si="7"/>
        <v>1608.973287671884</v>
      </c>
    </row>
    <row r="59" spans="6:12" x14ac:dyDescent="0.25">
      <c r="F59" s="11">
        <f t="shared" si="2"/>
        <v>56096</v>
      </c>
      <c r="G59" s="8">
        <v>56</v>
      </c>
      <c r="H59" s="52">
        <f t="shared" si="3"/>
        <v>2.1875</v>
      </c>
      <c r="I59" s="52">
        <f t="shared" si="4"/>
        <v>0.50896736546775401</v>
      </c>
      <c r="J59" s="29">
        <f t="shared" si="5"/>
        <v>5.8708189023184741E-3</v>
      </c>
      <c r="K59" s="29">
        <f t="shared" si="6"/>
        <v>0.32876585852983453</v>
      </c>
      <c r="L59" s="29">
        <f t="shared" si="7"/>
        <v>1624.6238305730708</v>
      </c>
    </row>
    <row r="60" spans="6:12" x14ac:dyDescent="0.25">
      <c r="F60" s="11">
        <f t="shared" si="2"/>
        <v>56280</v>
      </c>
      <c r="G60" s="8">
        <v>57</v>
      </c>
      <c r="H60" s="52">
        <f t="shared" si="3"/>
        <v>2.1875</v>
      </c>
      <c r="I60" s="52">
        <f t="shared" si="4"/>
        <v>0.49588589554332119</v>
      </c>
      <c r="J60" s="29">
        <f t="shared" si="5"/>
        <v>5.7199272221969194E-3</v>
      </c>
      <c r="K60" s="29">
        <f t="shared" si="6"/>
        <v>0.32603585166522442</v>
      </c>
      <c r="L60" s="29">
        <f t="shared" si="7"/>
        <v>1639.3987706662199</v>
      </c>
    </row>
    <row r="61" spans="6:12" x14ac:dyDescent="0.25">
      <c r="F61" s="11">
        <f t="shared" si="2"/>
        <v>56461</v>
      </c>
      <c r="G61" s="8">
        <v>58</v>
      </c>
      <c r="H61" s="52">
        <f>$C$9+C4</f>
        <v>102.1875</v>
      </c>
      <c r="I61" s="52">
        <f t="shared" si="4"/>
        <v>22.569570145652815</v>
      </c>
      <c r="J61" s="29">
        <f t="shared" si="5"/>
        <v>0.26033468551864553</v>
      </c>
      <c r="K61" s="29">
        <f t="shared" si="6"/>
        <v>15.099411760081441</v>
      </c>
      <c r="L61" s="29">
        <f t="shared" si="7"/>
        <v>77233.069038423928</v>
      </c>
    </row>
    <row r="62" spans="6:12" x14ac:dyDescent="0.25">
      <c r="F62" s="37"/>
      <c r="G62" s="18"/>
      <c r="H62" s="24"/>
      <c r="I62" s="24">
        <f>SUM(I4:I61)</f>
        <v>86.694441429074772</v>
      </c>
      <c r="J62" s="18"/>
      <c r="K62" s="30">
        <f>SUM(K4:K61)</f>
        <v>31.518738288214358</v>
      </c>
      <c r="L62" s="30">
        <f>SUM(L4:L61)</f>
        <v>125854.4447781411</v>
      </c>
    </row>
    <row r="63" spans="6:12" x14ac:dyDescent="0.25">
      <c r="F63" s="1"/>
    </row>
    <row r="64" spans="6:12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C052-A627-4CCC-9E19-009A89E02833}">
  <dimension ref="B2:AI69"/>
  <sheetViews>
    <sheetView showGridLines="0" zoomScaleNormal="100" workbookViewId="0">
      <selection activeCell="N18" sqref="N18"/>
    </sheetView>
  </sheetViews>
  <sheetFormatPr defaultRowHeight="13.8" x14ac:dyDescent="0.25"/>
  <cols>
    <col min="2" max="2" width="33.6640625" bestFit="1" customWidth="1"/>
    <col min="3" max="3" width="11.44140625" bestFit="1" customWidth="1"/>
    <col min="5" max="5" width="23.44140625" bestFit="1" customWidth="1"/>
    <col min="6" max="6" width="17.77734375" bestFit="1" customWidth="1"/>
    <col min="7" max="7" width="13.44140625" bestFit="1" customWidth="1"/>
    <col min="8" max="8" width="12" bestFit="1" customWidth="1"/>
    <col min="9" max="9" width="18.33203125" bestFit="1" customWidth="1"/>
    <col min="10" max="10" width="17.109375" bestFit="1" customWidth="1"/>
    <col min="11" max="11" width="32.33203125" bestFit="1" customWidth="1"/>
    <col min="12" max="12" width="7.44140625" bestFit="1" customWidth="1"/>
    <col min="13" max="13" width="19.88671875" bestFit="1" customWidth="1"/>
    <col min="16" max="16" width="23.44140625" bestFit="1" customWidth="1"/>
    <col min="17" max="17" width="17.77734375" bestFit="1" customWidth="1"/>
    <col min="18" max="18" width="13.44140625" bestFit="1" customWidth="1"/>
    <col min="19" max="19" width="12" bestFit="1" customWidth="1"/>
    <col min="20" max="20" width="18.33203125" bestFit="1" customWidth="1"/>
    <col min="21" max="21" width="17.109375" bestFit="1" customWidth="1"/>
    <col min="22" max="22" width="32.33203125" bestFit="1" customWidth="1"/>
    <col min="23" max="23" width="7.44140625" bestFit="1" customWidth="1"/>
    <col min="24" max="24" width="19.88671875" bestFit="1" customWidth="1"/>
    <col min="27" max="27" width="23.44140625" bestFit="1" customWidth="1"/>
    <col min="28" max="28" width="17.77734375" bestFit="1" customWidth="1"/>
    <col min="29" max="29" width="13.44140625" bestFit="1" customWidth="1"/>
    <col min="30" max="30" width="12" bestFit="1" customWidth="1"/>
    <col min="31" max="31" width="18.33203125" bestFit="1" customWidth="1"/>
    <col min="32" max="32" width="17.109375" bestFit="1" customWidth="1"/>
    <col min="33" max="33" width="32.33203125" bestFit="1" customWidth="1"/>
    <col min="34" max="34" width="7.44140625" bestFit="1" customWidth="1"/>
    <col min="35" max="35" width="19.88671875" bestFit="1" customWidth="1"/>
  </cols>
  <sheetData>
    <row r="2" spans="2:35" x14ac:dyDescent="0.25">
      <c r="P2" s="33" t="s">
        <v>30</v>
      </c>
      <c r="Q2" s="49">
        <v>2.5000000000000001E-3</v>
      </c>
      <c r="AA2" s="33" t="s">
        <v>31</v>
      </c>
      <c r="AB2" s="49">
        <v>2.5000000000000001E-3</v>
      </c>
    </row>
    <row r="3" spans="2:35" x14ac:dyDescent="0.25">
      <c r="B3" s="73" t="s">
        <v>7</v>
      </c>
      <c r="C3" s="73"/>
      <c r="E3" s="43" t="s">
        <v>10</v>
      </c>
      <c r="F3" s="43" t="s">
        <v>27</v>
      </c>
      <c r="G3" s="43" t="s">
        <v>11</v>
      </c>
      <c r="H3" s="43" t="s">
        <v>12</v>
      </c>
      <c r="I3" s="43" t="s">
        <v>29</v>
      </c>
      <c r="J3" s="43" t="s">
        <v>13</v>
      </c>
      <c r="K3" s="43" t="s">
        <v>28</v>
      </c>
      <c r="L3" s="43"/>
      <c r="M3" s="43" t="s">
        <v>14</v>
      </c>
      <c r="P3" s="43" t="s">
        <v>10</v>
      </c>
      <c r="Q3" s="43" t="s">
        <v>27</v>
      </c>
      <c r="R3" s="43" t="s">
        <v>11</v>
      </c>
      <c r="S3" s="43" t="s">
        <v>12</v>
      </c>
      <c r="T3" s="43" t="s">
        <v>29</v>
      </c>
      <c r="U3" s="43" t="s">
        <v>13</v>
      </c>
      <c r="V3" s="43" t="s">
        <v>28</v>
      </c>
      <c r="W3" s="43"/>
      <c r="X3" s="43" t="s">
        <v>14</v>
      </c>
      <c r="AA3" s="43" t="s">
        <v>10</v>
      </c>
      <c r="AB3" s="43" t="s">
        <v>27</v>
      </c>
      <c r="AC3" s="43" t="s">
        <v>11</v>
      </c>
      <c r="AD3" s="43" t="s">
        <v>12</v>
      </c>
      <c r="AE3" s="43" t="s">
        <v>29</v>
      </c>
      <c r="AF3" s="43" t="s">
        <v>13</v>
      </c>
      <c r="AG3" s="43" t="s">
        <v>28</v>
      </c>
      <c r="AH3" s="43"/>
      <c r="AI3" s="43" t="s">
        <v>14</v>
      </c>
    </row>
    <row r="4" spans="2:35" x14ac:dyDescent="0.25">
      <c r="B4" s="34" t="s">
        <v>0</v>
      </c>
      <c r="C4" s="21">
        <v>86.766999999999996</v>
      </c>
      <c r="E4" s="8">
        <v>1</v>
      </c>
      <c r="F4" s="9">
        <f>$C$7</f>
        <v>2.6380000000000001E-2</v>
      </c>
      <c r="G4" s="21">
        <f>$C$10</f>
        <v>2.1875</v>
      </c>
      <c r="H4" s="21">
        <f>G4/(1+F4)^E4</f>
        <v>2.1312769149827546</v>
      </c>
      <c r="I4" s="36">
        <f>H4/H$64</f>
        <v>2.4638171030075592E-2</v>
      </c>
      <c r="J4" s="29">
        <f>I4*E4</f>
        <v>2.4638171030075592E-2</v>
      </c>
      <c r="K4" s="23">
        <f>H4*(1+F4)^(E$35-E4)</f>
        <v>4.7774206873768472</v>
      </c>
      <c r="L4" s="8"/>
      <c r="M4" s="23">
        <f>E4*(E4+1)*H4</f>
        <v>4.2625538299655092</v>
      </c>
      <c r="P4" s="8">
        <v>1</v>
      </c>
      <c r="Q4" s="9">
        <f xml:space="preserve"> $C$7 + INT((ROW()-4)/5)*$Q$2</f>
        <v>2.6380000000000001E-2</v>
      </c>
      <c r="R4" s="21">
        <f>$C$10</f>
        <v>2.1875</v>
      </c>
      <c r="S4" s="21">
        <f>R4/(1+Q4)^P4</f>
        <v>2.1312769149827546</v>
      </c>
      <c r="T4" s="36">
        <f>S4/S$64</f>
        <v>3.9449205367653901E-2</v>
      </c>
      <c r="U4" s="29">
        <f>T4*P4</f>
        <v>3.9449205367653901E-2</v>
      </c>
      <c r="V4" s="23">
        <f>S4*(1+Q4)^(P$35-P4)</f>
        <v>4.7774206873768472</v>
      </c>
      <c r="W4" s="8"/>
      <c r="X4" s="23">
        <f>P4*(P4+1)*S4</f>
        <v>4.2625538299655092</v>
      </c>
      <c r="AA4" s="8">
        <v>1</v>
      </c>
      <c r="AB4" s="9">
        <f xml:space="preserve"> $C$7 + INT((ROW()-4)/5)*(-$Q$2)</f>
        <v>2.6380000000000001E-2</v>
      </c>
      <c r="AC4" s="21">
        <f>$C$10</f>
        <v>2.1875</v>
      </c>
      <c r="AD4" s="21">
        <f>AC4/(1+AB4)^AA4</f>
        <v>2.1312769149827546</v>
      </c>
      <c r="AE4" s="36">
        <f>AD4/AD$64</f>
        <v>1.00618172841651E-2</v>
      </c>
      <c r="AF4" s="29">
        <f>AE4*AA4</f>
        <v>1.00618172841651E-2</v>
      </c>
      <c r="AG4" s="23">
        <f>AD4*(1+AB4)^(AA$35-AA4)</f>
        <v>4.7774206873768472</v>
      </c>
      <c r="AH4" s="8"/>
      <c r="AI4" s="23">
        <f>AA4*(AA4+1)*AD4</f>
        <v>4.2625538299655092</v>
      </c>
    </row>
    <row r="5" spans="2:35" x14ac:dyDescent="0.25">
      <c r="B5" s="34" t="s">
        <v>8</v>
      </c>
      <c r="C5" s="21">
        <v>100</v>
      </c>
      <c r="E5" s="8">
        <v>2</v>
      </c>
      <c r="F5" s="9">
        <f t="shared" ref="F5:F63" si="0">$C$7</f>
        <v>2.6380000000000001E-2</v>
      </c>
      <c r="G5" s="21">
        <f t="shared" ref="G5:G62" si="1">$C$10</f>
        <v>2.1875</v>
      </c>
      <c r="H5" s="21">
        <f t="shared" ref="H5:H63" si="2">G5/(1+F5)^E5</f>
        <v>2.0764988746689865</v>
      </c>
      <c r="I5" s="36">
        <f t="shared" ref="I5:I63" si="3">H5/H$64</f>
        <v>2.4004921208592909E-2</v>
      </c>
      <c r="J5" s="29">
        <f t="shared" ref="J5:J63" si="4">I5*E5</f>
        <v>4.8009842417185818E-2</v>
      </c>
      <c r="K5" s="23">
        <f t="shared" ref="K5:K35" si="5">H5*(1+F5)^(E$35-E5)</f>
        <v>4.5349982542438214</v>
      </c>
      <c r="L5" s="8"/>
      <c r="M5" s="23">
        <f t="shared" ref="M5:M63" si="6">E5*(E5+1)*H5</f>
        <v>12.458993248013918</v>
      </c>
      <c r="P5" s="8">
        <v>2</v>
      </c>
      <c r="Q5" s="9">
        <f t="shared" ref="Q5:Q63" si="7" xml:space="preserve"> $C$7 + INT((ROW()-4)/5)*$Q$2</f>
        <v>2.6380000000000001E-2</v>
      </c>
      <c r="R5" s="21">
        <f t="shared" ref="R5:R62" si="8">$C$10</f>
        <v>2.1875</v>
      </c>
      <c r="S5" s="21">
        <f t="shared" ref="S5:S63" si="9">R5/(1+Q5)^P5</f>
        <v>2.0764988746689865</v>
      </c>
      <c r="T5" s="36">
        <f t="shared" ref="T5:T63" si="10">S5/S$64</f>
        <v>3.843528261234036E-2</v>
      </c>
      <c r="U5" s="29">
        <f t="shared" ref="U5:U63" si="11">T5*P5</f>
        <v>7.687056522468072E-2</v>
      </c>
      <c r="V5" s="23">
        <f t="shared" ref="V5:V24" si="12">S5*(1+Q5)^(P$35-P5)</f>
        <v>4.5349982542438214</v>
      </c>
      <c r="W5" s="8"/>
      <c r="X5" s="23">
        <f t="shared" ref="X5:X63" si="13">P5*(P5+1)*S5</f>
        <v>12.458993248013918</v>
      </c>
      <c r="AA5" s="8">
        <v>2</v>
      </c>
      <c r="AB5" s="9">
        <f t="shared" ref="AB5:AB63" si="14" xml:space="preserve"> $C$7 + INT((ROW()-4)/5)*(-$Q$2)</f>
        <v>2.6380000000000001E-2</v>
      </c>
      <c r="AC5" s="21">
        <f t="shared" ref="AC5:AC62" si="15">$C$10</f>
        <v>2.1875</v>
      </c>
      <c r="AD5" s="21">
        <f t="shared" ref="AD5:AD63" si="16">AC5/(1+AB5)^AA5</f>
        <v>2.0764988746689865</v>
      </c>
      <c r="AE5" s="36">
        <f t="shared" ref="AE5:AE63" si="17">AD5/AD$64</f>
        <v>9.8032086402356812E-3</v>
      </c>
      <c r="AF5" s="29">
        <f t="shared" ref="AF5:AF63" si="18">AE5*AA5</f>
        <v>1.9606417280471362E-2</v>
      </c>
      <c r="AG5" s="23">
        <f t="shared" ref="AG5:AG47" si="19">AD5*(1+AB5)^(AA$35-AA5)</f>
        <v>4.5349982542438214</v>
      </c>
      <c r="AH5" s="8"/>
      <c r="AI5" s="23">
        <f t="shared" ref="AI5:AI63" si="20">AA5*(AA5+1)*AD5</f>
        <v>12.458993248013918</v>
      </c>
    </row>
    <row r="6" spans="2:35" x14ac:dyDescent="0.25">
      <c r="B6" s="34" t="s">
        <v>1</v>
      </c>
      <c r="C6" s="9">
        <v>5.2760000000000001E-2</v>
      </c>
      <c r="E6" s="8">
        <v>3</v>
      </c>
      <c r="F6" s="9">
        <f t="shared" si="0"/>
        <v>2.6380000000000001E-2</v>
      </c>
      <c r="G6" s="21">
        <f t="shared" si="1"/>
        <v>2.1875</v>
      </c>
      <c r="H6" s="21">
        <f t="shared" si="2"/>
        <v>2.0231287385461396</v>
      </c>
      <c r="I6" s="36">
        <f t="shared" si="3"/>
        <v>2.3387947162447544E-2</v>
      </c>
      <c r="J6" s="29">
        <f t="shared" si="4"/>
        <v>7.0163841487342629E-2</v>
      </c>
      <c r="K6" s="23">
        <f t="shared" si="5"/>
        <v>4.3048771527145666</v>
      </c>
      <c r="L6" s="8"/>
      <c r="M6" s="23">
        <f t="shared" si="6"/>
        <v>24.277544862553675</v>
      </c>
      <c r="P6" s="8">
        <v>3</v>
      </c>
      <c r="Q6" s="9">
        <f t="shared" si="7"/>
        <v>2.6380000000000001E-2</v>
      </c>
      <c r="R6" s="21">
        <f t="shared" si="8"/>
        <v>2.1875</v>
      </c>
      <c r="S6" s="21">
        <f t="shared" si="9"/>
        <v>2.0231287385461396</v>
      </c>
      <c r="T6" s="36">
        <f t="shared" si="10"/>
        <v>3.7447419681151589E-2</v>
      </c>
      <c r="U6" s="29">
        <f t="shared" si="11"/>
        <v>0.11234225904345477</v>
      </c>
      <c r="V6" s="23">
        <f t="shared" si="12"/>
        <v>4.3048771527145666</v>
      </c>
      <c r="W6" s="8"/>
      <c r="X6" s="23">
        <f t="shared" si="13"/>
        <v>24.277544862553675</v>
      </c>
      <c r="AA6" s="8">
        <v>3</v>
      </c>
      <c r="AB6" s="9">
        <f t="shared" si="14"/>
        <v>2.6380000000000001E-2</v>
      </c>
      <c r="AC6" s="21">
        <f t="shared" si="15"/>
        <v>2.1875</v>
      </c>
      <c r="AD6" s="21">
        <f t="shared" si="16"/>
        <v>2.0231287385461396</v>
      </c>
      <c r="AE6" s="36">
        <f t="shared" si="17"/>
        <v>9.5512467509457338E-3</v>
      </c>
      <c r="AF6" s="29">
        <f t="shared" si="18"/>
        <v>2.86537402528372E-2</v>
      </c>
      <c r="AG6" s="23">
        <f t="shared" si="19"/>
        <v>4.3048771527145666</v>
      </c>
      <c r="AH6" s="8"/>
      <c r="AI6" s="23">
        <f t="shared" si="20"/>
        <v>24.277544862553675</v>
      </c>
    </row>
    <row r="7" spans="2:35" x14ac:dyDescent="0.25">
      <c r="B7" s="34" t="s">
        <v>21</v>
      </c>
      <c r="C7" s="36">
        <f>C6/2</f>
        <v>2.6380000000000001E-2</v>
      </c>
      <c r="E7" s="8">
        <v>4</v>
      </c>
      <c r="F7" s="9">
        <f t="shared" si="0"/>
        <v>2.6380000000000001E-2</v>
      </c>
      <c r="G7" s="21">
        <f t="shared" si="1"/>
        <v>2.1875</v>
      </c>
      <c r="H7" s="21">
        <f t="shared" si="2"/>
        <v>1.971130320686431</v>
      </c>
      <c r="I7" s="36">
        <f t="shared" si="3"/>
        <v>2.2786830571959255E-2</v>
      </c>
      <c r="J7" s="29">
        <f t="shared" si="4"/>
        <v>9.1147322287837021E-2</v>
      </c>
      <c r="K7" s="23">
        <f t="shared" si="5"/>
        <v>4.0864331717485847</v>
      </c>
      <c r="L7" s="8"/>
      <c r="M7" s="23">
        <f t="shared" si="6"/>
        <v>39.422606413728623</v>
      </c>
      <c r="P7" s="8">
        <v>4</v>
      </c>
      <c r="Q7" s="9">
        <f t="shared" si="7"/>
        <v>2.6380000000000001E-2</v>
      </c>
      <c r="R7" s="21">
        <f t="shared" si="8"/>
        <v>2.1875</v>
      </c>
      <c r="S7" s="21">
        <f t="shared" si="9"/>
        <v>1.971130320686431</v>
      </c>
      <c r="T7" s="36">
        <f t="shared" si="10"/>
        <v>3.6484946784964223E-2</v>
      </c>
      <c r="U7" s="29">
        <f t="shared" si="11"/>
        <v>0.14593978713985689</v>
      </c>
      <c r="V7" s="23">
        <f t="shared" si="12"/>
        <v>4.0864331717485847</v>
      </c>
      <c r="W7" s="8"/>
      <c r="X7" s="23">
        <f t="shared" si="13"/>
        <v>39.422606413728623</v>
      </c>
      <c r="AA7" s="8">
        <v>4</v>
      </c>
      <c r="AB7" s="9">
        <f t="shared" si="14"/>
        <v>2.6380000000000001E-2</v>
      </c>
      <c r="AC7" s="21">
        <f t="shared" si="15"/>
        <v>2.1875</v>
      </c>
      <c r="AD7" s="21">
        <f t="shared" si="16"/>
        <v>1.971130320686431</v>
      </c>
      <c r="AE7" s="36">
        <f t="shared" si="17"/>
        <v>9.3057607815289958E-3</v>
      </c>
      <c r="AF7" s="29">
        <f t="shared" si="18"/>
        <v>3.7223043126115983E-2</v>
      </c>
      <c r="AG7" s="23">
        <f t="shared" si="19"/>
        <v>4.0864331717485847</v>
      </c>
      <c r="AH7" s="8"/>
      <c r="AI7" s="23">
        <f t="shared" si="20"/>
        <v>39.422606413728623</v>
      </c>
    </row>
    <row r="8" spans="2:35" x14ac:dyDescent="0.25">
      <c r="B8" s="34" t="s">
        <v>9</v>
      </c>
      <c r="C8" s="9">
        <v>4.3749999999999997E-2</v>
      </c>
      <c r="E8" s="8">
        <v>5</v>
      </c>
      <c r="F8" s="9">
        <f t="shared" si="0"/>
        <v>2.6380000000000001E-2</v>
      </c>
      <c r="G8" s="21">
        <f t="shared" si="1"/>
        <v>2.1875</v>
      </c>
      <c r="H8" s="21">
        <f t="shared" si="2"/>
        <v>1.9204683652121348</v>
      </c>
      <c r="I8" s="36">
        <f t="shared" si="3"/>
        <v>2.2201163869092589E-2</v>
      </c>
      <c r="J8" s="29">
        <f t="shared" si="4"/>
        <v>0.11100581934546294</v>
      </c>
      <c r="K8" s="23">
        <f t="shared" si="5"/>
        <v>3.8790737748781496</v>
      </c>
      <c r="L8" s="8"/>
      <c r="M8" s="23">
        <f t="shared" si="6"/>
        <v>57.614050956364046</v>
      </c>
      <c r="P8" s="8">
        <v>5</v>
      </c>
      <c r="Q8" s="9">
        <f t="shared" si="7"/>
        <v>2.6380000000000001E-2</v>
      </c>
      <c r="R8" s="21">
        <f t="shared" si="8"/>
        <v>2.1875</v>
      </c>
      <c r="S8" s="21">
        <f t="shared" si="9"/>
        <v>1.9204683652121348</v>
      </c>
      <c r="T8" s="36">
        <f t="shared" si="10"/>
        <v>3.5547211349562756E-2</v>
      </c>
      <c r="U8" s="29">
        <f t="shared" si="11"/>
        <v>0.17773605674781379</v>
      </c>
      <c r="V8" s="23">
        <f t="shared" si="12"/>
        <v>3.8790737748781496</v>
      </c>
      <c r="W8" s="8"/>
      <c r="X8" s="23">
        <f t="shared" si="13"/>
        <v>57.614050956364046</v>
      </c>
      <c r="AA8" s="8">
        <v>5</v>
      </c>
      <c r="AB8" s="9">
        <f t="shared" si="14"/>
        <v>2.6380000000000001E-2</v>
      </c>
      <c r="AC8" s="21">
        <f t="shared" si="15"/>
        <v>2.1875</v>
      </c>
      <c r="AD8" s="21">
        <f t="shared" si="16"/>
        <v>1.9204683652121348</v>
      </c>
      <c r="AE8" s="36">
        <f t="shared" si="17"/>
        <v>9.0665842880112597E-3</v>
      </c>
      <c r="AF8" s="29">
        <f t="shared" si="18"/>
        <v>4.5332921440056295E-2</v>
      </c>
      <c r="AG8" s="23">
        <f t="shared" si="19"/>
        <v>3.8790737748781496</v>
      </c>
      <c r="AH8" s="8"/>
      <c r="AI8" s="23">
        <f t="shared" si="20"/>
        <v>57.614050956364046</v>
      </c>
    </row>
    <row r="9" spans="2:35" x14ac:dyDescent="0.25">
      <c r="B9" s="34" t="s">
        <v>2</v>
      </c>
      <c r="C9" s="21">
        <f>C5*C8</f>
        <v>4.375</v>
      </c>
      <c r="E9" s="8">
        <v>6</v>
      </c>
      <c r="F9" s="9">
        <f t="shared" si="0"/>
        <v>2.6380000000000001E-2</v>
      </c>
      <c r="G9" s="21">
        <f t="shared" si="1"/>
        <v>2.1875</v>
      </c>
      <c r="H9" s="21">
        <f t="shared" si="2"/>
        <v>1.8711085223914481</v>
      </c>
      <c r="I9" s="36">
        <f t="shared" si="3"/>
        <v>2.1630549961118288E-2</v>
      </c>
      <c r="J9" s="29">
        <f t="shared" si="4"/>
        <v>0.12978329976670971</v>
      </c>
      <c r="K9" s="23">
        <f t="shared" si="5"/>
        <v>3.6822364929336948</v>
      </c>
      <c r="L9" s="8"/>
      <c r="M9" s="23">
        <f t="shared" si="6"/>
        <v>78.586557940440827</v>
      </c>
      <c r="P9" s="8">
        <v>6</v>
      </c>
      <c r="Q9" s="9">
        <f t="shared" si="7"/>
        <v>2.8879999999999999E-2</v>
      </c>
      <c r="R9" s="21">
        <f t="shared" si="8"/>
        <v>2.1875</v>
      </c>
      <c r="S9" s="21">
        <f t="shared" si="9"/>
        <v>1.8439948778565167</v>
      </c>
      <c r="T9" s="36">
        <f t="shared" si="10"/>
        <v>3.413171330392429E-2</v>
      </c>
      <c r="U9" s="29">
        <f t="shared" si="11"/>
        <v>0.20479027982354575</v>
      </c>
      <c r="V9" s="23">
        <f t="shared" si="12"/>
        <v>3.8658283455914795</v>
      </c>
      <c r="W9" s="8"/>
      <c r="X9" s="23">
        <f t="shared" si="13"/>
        <v>77.447784869973702</v>
      </c>
      <c r="AA9" s="8">
        <v>6</v>
      </c>
      <c r="AB9" s="9">
        <f t="shared" si="14"/>
        <v>2.3880000000000002E-2</v>
      </c>
      <c r="AC9" s="21">
        <f t="shared" si="15"/>
        <v>2.1875</v>
      </c>
      <c r="AD9" s="21">
        <f t="shared" si="16"/>
        <v>1.8986884260925743</v>
      </c>
      <c r="AE9" s="36">
        <f t="shared" si="17"/>
        <v>8.9637605928167604E-3</v>
      </c>
      <c r="AF9" s="29">
        <f t="shared" si="18"/>
        <v>5.3782563556900559E-2</v>
      </c>
      <c r="AG9" s="23">
        <f t="shared" si="19"/>
        <v>3.5069474413288062</v>
      </c>
      <c r="AH9" s="8"/>
      <c r="AI9" s="23">
        <f t="shared" si="20"/>
        <v>79.744913895888118</v>
      </c>
    </row>
    <row r="10" spans="2:35" x14ac:dyDescent="0.25">
      <c r="B10" s="34" t="s">
        <v>26</v>
      </c>
      <c r="C10" s="21">
        <f>C9/2</f>
        <v>2.1875</v>
      </c>
      <c r="E10" s="8">
        <v>7</v>
      </c>
      <c r="F10" s="9">
        <f t="shared" si="0"/>
        <v>2.6380000000000001E-2</v>
      </c>
      <c r="G10" s="21">
        <f t="shared" si="1"/>
        <v>2.1875</v>
      </c>
      <c r="H10" s="21">
        <f t="shared" si="2"/>
        <v>1.8230173253487481</v>
      </c>
      <c r="I10" s="36">
        <f t="shared" si="3"/>
        <v>2.1074601961377157E-2</v>
      </c>
      <c r="J10" s="29">
        <f t="shared" si="4"/>
        <v>0.14752221372964008</v>
      </c>
      <c r="K10" s="23">
        <f t="shared" si="5"/>
        <v>3.4953873983277224</v>
      </c>
      <c r="L10" s="8"/>
      <c r="M10" s="23">
        <f t="shared" si="6"/>
        <v>102.0889702195299</v>
      </c>
      <c r="P10" s="8">
        <v>7</v>
      </c>
      <c r="Q10" s="9">
        <f t="shared" si="7"/>
        <v>2.8879999999999999E-2</v>
      </c>
      <c r="R10" s="21">
        <f t="shared" si="8"/>
        <v>2.1875</v>
      </c>
      <c r="S10" s="21">
        <f t="shared" si="9"/>
        <v>1.7922351273778443</v>
      </c>
      <c r="T10" s="36">
        <f t="shared" si="10"/>
        <v>3.3173658059175305E-2</v>
      </c>
      <c r="U10" s="29">
        <f t="shared" si="11"/>
        <v>0.23221560641422714</v>
      </c>
      <c r="V10" s="23">
        <f t="shared" si="12"/>
        <v>3.6518515568109717</v>
      </c>
      <c r="W10" s="8"/>
      <c r="X10" s="23">
        <f t="shared" si="13"/>
        <v>100.36516713315928</v>
      </c>
      <c r="AA10" s="8">
        <v>7</v>
      </c>
      <c r="AB10" s="9">
        <f t="shared" si="14"/>
        <v>2.3880000000000002E-2</v>
      </c>
      <c r="AC10" s="21">
        <f t="shared" si="15"/>
        <v>2.1875</v>
      </c>
      <c r="AD10" s="21">
        <f t="shared" si="16"/>
        <v>1.8544052292188284</v>
      </c>
      <c r="AE10" s="36">
        <f t="shared" si="17"/>
        <v>8.7546983951407968E-3</v>
      </c>
      <c r="AF10" s="29">
        <f t="shared" si="18"/>
        <v>6.1282888765985574E-2</v>
      </c>
      <c r="AG10" s="23">
        <f t="shared" si="19"/>
        <v>3.3452697054288194</v>
      </c>
      <c r="AH10" s="8"/>
      <c r="AI10" s="23">
        <f t="shared" si="20"/>
        <v>103.84669283625439</v>
      </c>
    </row>
    <row r="11" spans="2:35" x14ac:dyDescent="0.25">
      <c r="B11" s="34" t="s">
        <v>4</v>
      </c>
      <c r="C11" s="11">
        <v>45869</v>
      </c>
      <c r="E11" s="8">
        <v>8</v>
      </c>
      <c r="F11" s="9">
        <f t="shared" si="0"/>
        <v>2.6380000000000001E-2</v>
      </c>
      <c r="G11" s="21">
        <f t="shared" si="1"/>
        <v>2.1875</v>
      </c>
      <c r="H11" s="21">
        <f t="shared" si="2"/>
        <v>1.7761621673734362</v>
      </c>
      <c r="I11" s="36">
        <f t="shared" si="3"/>
        <v>2.0532942926963844E-2</v>
      </c>
      <c r="J11" s="29">
        <f t="shared" si="4"/>
        <v>0.16426354341571076</v>
      </c>
      <c r="K11" s="23">
        <f t="shared" si="5"/>
        <v>3.3180196567587066</v>
      </c>
      <c r="L11" s="8"/>
      <c r="M11" s="23">
        <f t="shared" si="6"/>
        <v>127.8836760508874</v>
      </c>
      <c r="P11" s="8">
        <v>8</v>
      </c>
      <c r="Q11" s="9">
        <f t="shared" si="7"/>
        <v>2.8879999999999999E-2</v>
      </c>
      <c r="R11" s="21">
        <f t="shared" si="8"/>
        <v>2.1875</v>
      </c>
      <c r="S11" s="21">
        <f t="shared" si="9"/>
        <v>1.7419282398120719</v>
      </c>
      <c r="T11" s="36">
        <f t="shared" si="10"/>
        <v>3.224249480908882E-2</v>
      </c>
      <c r="U11" s="29">
        <f t="shared" si="11"/>
        <v>0.25793995847271056</v>
      </c>
      <c r="V11" s="23">
        <f t="shared" si="12"/>
        <v>3.4497185598504077</v>
      </c>
      <c r="W11" s="8"/>
      <c r="X11" s="23">
        <f t="shared" si="13"/>
        <v>125.41883326646918</v>
      </c>
      <c r="AA11" s="8">
        <v>8</v>
      </c>
      <c r="AB11" s="9">
        <f t="shared" si="14"/>
        <v>2.3880000000000002E-2</v>
      </c>
      <c r="AC11" s="21">
        <f t="shared" si="15"/>
        <v>2.1875</v>
      </c>
      <c r="AD11" s="21">
        <f t="shared" si="16"/>
        <v>1.8111548513681575</v>
      </c>
      <c r="AE11" s="36">
        <f t="shared" si="17"/>
        <v>8.5505121646489834E-3</v>
      </c>
      <c r="AF11" s="29">
        <f t="shared" si="18"/>
        <v>6.8404097317191867E-2</v>
      </c>
      <c r="AG11" s="23">
        <f t="shared" si="19"/>
        <v>3.1910456570228893</v>
      </c>
      <c r="AH11" s="8"/>
      <c r="AI11" s="23">
        <f t="shared" si="20"/>
        <v>130.40314929850734</v>
      </c>
    </row>
    <row r="12" spans="2:35" x14ac:dyDescent="0.25">
      <c r="B12" s="34" t="s">
        <v>15</v>
      </c>
      <c r="C12" s="11">
        <f>C11</f>
        <v>45869</v>
      </c>
      <c r="E12" s="8">
        <v>9</v>
      </c>
      <c r="F12" s="9">
        <f t="shared" si="0"/>
        <v>2.6380000000000001E-2</v>
      </c>
      <c r="G12" s="21">
        <f t="shared" si="1"/>
        <v>2.1875</v>
      </c>
      <c r="H12" s="21">
        <f t="shared" si="2"/>
        <v>1.7305112798119957</v>
      </c>
      <c r="I12" s="36">
        <f t="shared" si="3"/>
        <v>2.0005205603152675E-2</v>
      </c>
      <c r="J12" s="29">
        <f t="shared" si="4"/>
        <v>0.18004685042837407</v>
      </c>
      <c r="K12" s="23">
        <f t="shared" si="5"/>
        <v>3.1496521524064138</v>
      </c>
      <c r="L12" s="8"/>
      <c r="M12" s="23">
        <f t="shared" si="6"/>
        <v>155.74601518307961</v>
      </c>
      <c r="P12" s="8">
        <v>9</v>
      </c>
      <c r="Q12" s="9">
        <f t="shared" si="7"/>
        <v>2.8879999999999999E-2</v>
      </c>
      <c r="R12" s="21">
        <f t="shared" si="8"/>
        <v>2.1875</v>
      </c>
      <c r="S12" s="21">
        <f t="shared" si="9"/>
        <v>1.6930334342314672</v>
      </c>
      <c r="T12" s="36">
        <f t="shared" si="10"/>
        <v>3.1337468712667002E-2</v>
      </c>
      <c r="U12" s="29">
        <f t="shared" si="11"/>
        <v>0.28203721841400303</v>
      </c>
      <c r="V12" s="23">
        <f t="shared" si="12"/>
        <v>3.2587737910597587</v>
      </c>
      <c r="W12" s="8"/>
      <c r="X12" s="23">
        <f t="shared" si="13"/>
        <v>152.37300908083205</v>
      </c>
      <c r="AA12" s="8">
        <v>9</v>
      </c>
      <c r="AB12" s="9">
        <f t="shared" si="14"/>
        <v>2.3880000000000002E-2</v>
      </c>
      <c r="AC12" s="21">
        <f t="shared" si="15"/>
        <v>2.1875</v>
      </c>
      <c r="AD12" s="21">
        <f t="shared" si="16"/>
        <v>1.7689132040553166</v>
      </c>
      <c r="AE12" s="36">
        <f t="shared" si="17"/>
        <v>8.3510881789359923E-3</v>
      </c>
      <c r="AF12" s="29">
        <f t="shared" si="18"/>
        <v>7.5159793610423936E-2</v>
      </c>
      <c r="AG12" s="23">
        <f t="shared" si="19"/>
        <v>3.0439316652644441</v>
      </c>
      <c r="AH12" s="8"/>
      <c r="AI12" s="23">
        <f t="shared" si="20"/>
        <v>159.2021883649785</v>
      </c>
    </row>
    <row r="13" spans="2:35" x14ac:dyDescent="0.25">
      <c r="B13" s="34" t="s">
        <v>16</v>
      </c>
      <c r="C13" s="11">
        <f>EDATE(C12,6)</f>
        <v>46053</v>
      </c>
      <c r="E13" s="8">
        <v>10</v>
      </c>
      <c r="F13" s="9">
        <f t="shared" si="0"/>
        <v>2.6380000000000001E-2</v>
      </c>
      <c r="G13" s="21">
        <f t="shared" si="1"/>
        <v>2.1875</v>
      </c>
      <c r="H13" s="21">
        <f t="shared" si="2"/>
        <v>1.6860337105282599</v>
      </c>
      <c r="I13" s="36">
        <f t="shared" si="3"/>
        <v>1.9491032174392204E-2</v>
      </c>
      <c r="J13" s="29">
        <f t="shared" si="4"/>
        <v>0.19491032174392203</v>
      </c>
      <c r="K13" s="23">
        <f t="shared" si="5"/>
        <v>2.9898281828894495</v>
      </c>
      <c r="L13" s="8"/>
      <c r="M13" s="23">
        <f t="shared" si="6"/>
        <v>185.4637081581086</v>
      </c>
      <c r="P13" s="8">
        <v>10</v>
      </c>
      <c r="Q13" s="9">
        <f t="shared" si="7"/>
        <v>2.8879999999999999E-2</v>
      </c>
      <c r="R13" s="21">
        <f t="shared" si="8"/>
        <v>2.1875</v>
      </c>
      <c r="S13" s="21">
        <f t="shared" si="9"/>
        <v>1.6455110744027164</v>
      </c>
      <c r="T13" s="36">
        <f t="shared" si="10"/>
        <v>3.045784611681342E-2</v>
      </c>
      <c r="U13" s="29">
        <f t="shared" si="11"/>
        <v>0.3045784611681342</v>
      </c>
      <c r="V13" s="23">
        <f t="shared" si="12"/>
        <v>3.0783979727779562</v>
      </c>
      <c r="W13" s="8"/>
      <c r="X13" s="23">
        <f t="shared" si="13"/>
        <v>181.0062181842988</v>
      </c>
      <c r="AA13" s="8">
        <v>10</v>
      </c>
      <c r="AB13" s="9">
        <f t="shared" si="14"/>
        <v>2.3880000000000002E-2</v>
      </c>
      <c r="AC13" s="21">
        <f t="shared" si="15"/>
        <v>2.1875</v>
      </c>
      <c r="AD13" s="21">
        <f t="shared" si="16"/>
        <v>1.7276567606119047</v>
      </c>
      <c r="AE13" s="36">
        <f t="shared" si="17"/>
        <v>8.1563153679493627E-3</v>
      </c>
      <c r="AF13" s="29">
        <f t="shared" si="18"/>
        <v>8.1563153679493627E-2</v>
      </c>
      <c r="AG13" s="23">
        <f t="shared" si="19"/>
        <v>2.9035999414198006</v>
      </c>
      <c r="AH13" s="8"/>
      <c r="AI13" s="23">
        <f t="shared" si="20"/>
        <v>190.04224366730952</v>
      </c>
    </row>
    <row r="14" spans="2:35" x14ac:dyDescent="0.25">
      <c r="B14" s="34" t="s">
        <v>3</v>
      </c>
      <c r="C14" s="11">
        <f ca="1">TODAY()</f>
        <v>46006</v>
      </c>
      <c r="E14" s="8">
        <v>11</v>
      </c>
      <c r="F14" s="9">
        <f t="shared" si="0"/>
        <v>2.6380000000000001E-2</v>
      </c>
      <c r="G14" s="21">
        <f t="shared" si="1"/>
        <v>2.1875</v>
      </c>
      <c r="H14" s="21">
        <f t="shared" si="2"/>
        <v>1.6426993029173016</v>
      </c>
      <c r="I14" s="36">
        <f t="shared" si="3"/>
        <v>1.8990074021699766E-2</v>
      </c>
      <c r="J14" s="29">
        <f t="shared" si="4"/>
        <v>0.20889081423869743</v>
      </c>
      <c r="K14" s="23">
        <f t="shared" si="5"/>
        <v>2.8381142204450573</v>
      </c>
      <c r="L14" s="8"/>
      <c r="M14" s="23">
        <f t="shared" si="6"/>
        <v>216.83630798508381</v>
      </c>
      <c r="P14" s="8">
        <v>11</v>
      </c>
      <c r="Q14" s="9">
        <f t="shared" si="7"/>
        <v>3.1379999999999998E-2</v>
      </c>
      <c r="R14" s="21">
        <f t="shared" si="8"/>
        <v>2.1875</v>
      </c>
      <c r="S14" s="21">
        <f t="shared" si="9"/>
        <v>1.5571924910271471</v>
      </c>
      <c r="T14" s="36">
        <f t="shared" si="10"/>
        <v>2.8823099402827037E-2</v>
      </c>
      <c r="U14" s="29">
        <f t="shared" si="11"/>
        <v>0.31705409343109742</v>
      </c>
      <c r="V14" s="23">
        <f t="shared" si="12"/>
        <v>2.9794432450079507</v>
      </c>
      <c r="W14" s="8"/>
      <c r="X14" s="23">
        <f t="shared" si="13"/>
        <v>205.5494088155834</v>
      </c>
      <c r="AA14" s="8">
        <v>11</v>
      </c>
      <c r="AB14" s="9">
        <f t="shared" si="14"/>
        <v>2.138E-2</v>
      </c>
      <c r="AC14" s="21">
        <f t="shared" si="15"/>
        <v>2.1875</v>
      </c>
      <c r="AD14" s="21">
        <f t="shared" si="16"/>
        <v>1.7333537998464186</v>
      </c>
      <c r="AE14" s="36">
        <f t="shared" si="17"/>
        <v>8.1832112478021513E-3</v>
      </c>
      <c r="AF14" s="29">
        <f t="shared" si="18"/>
        <v>9.0015323725823659E-2</v>
      </c>
      <c r="AG14" s="23">
        <f t="shared" si="19"/>
        <v>2.7028475893691786</v>
      </c>
      <c r="AH14" s="8"/>
      <c r="AI14" s="23">
        <f t="shared" si="20"/>
        <v>228.80270157972726</v>
      </c>
    </row>
    <row r="15" spans="2:35" x14ac:dyDescent="0.25">
      <c r="B15" s="35" t="s">
        <v>5</v>
      </c>
      <c r="C15" s="15">
        <v>56461</v>
      </c>
      <c r="E15" s="8">
        <v>12</v>
      </c>
      <c r="F15" s="9">
        <f t="shared" si="0"/>
        <v>2.6380000000000001E-2</v>
      </c>
      <c r="G15" s="21">
        <f t="shared" si="1"/>
        <v>2.1875</v>
      </c>
      <c r="H15" s="21">
        <f t="shared" si="2"/>
        <v>1.6004786754587008</v>
      </c>
      <c r="I15" s="36">
        <f t="shared" si="3"/>
        <v>1.8501991486291395E-2</v>
      </c>
      <c r="J15" s="29">
        <f t="shared" si="4"/>
        <v>0.22202389783549675</v>
      </c>
      <c r="K15" s="23">
        <f t="shared" si="5"/>
        <v>2.6940987359708393</v>
      </c>
      <c r="L15" s="8"/>
      <c r="M15" s="23">
        <f t="shared" si="6"/>
        <v>249.67467337155733</v>
      </c>
      <c r="P15" s="8">
        <v>12</v>
      </c>
      <c r="Q15" s="9">
        <f t="shared" si="7"/>
        <v>3.1379999999999998E-2</v>
      </c>
      <c r="R15" s="21">
        <f t="shared" si="8"/>
        <v>2.1875</v>
      </c>
      <c r="S15" s="21">
        <f t="shared" si="9"/>
        <v>1.5098145116515225</v>
      </c>
      <c r="T15" s="36">
        <f t="shared" si="10"/>
        <v>2.7946149239685702E-2</v>
      </c>
      <c r="U15" s="29">
        <f t="shared" si="11"/>
        <v>0.33535379087622841</v>
      </c>
      <c r="V15" s="23">
        <f t="shared" si="12"/>
        <v>2.8009006603595656</v>
      </c>
      <c r="W15" s="8"/>
      <c r="X15" s="23">
        <f t="shared" si="13"/>
        <v>235.53106381763752</v>
      </c>
      <c r="AA15" s="8">
        <v>12</v>
      </c>
      <c r="AB15" s="9">
        <f t="shared" si="14"/>
        <v>2.138E-2</v>
      </c>
      <c r="AC15" s="21">
        <f t="shared" si="15"/>
        <v>2.1875</v>
      </c>
      <c r="AD15" s="21">
        <f t="shared" si="16"/>
        <v>1.6970704339681792</v>
      </c>
      <c r="AE15" s="36">
        <f t="shared" si="17"/>
        <v>8.0119164735966558E-3</v>
      </c>
      <c r="AF15" s="29">
        <f t="shared" si="18"/>
        <v>9.614299768315987E-2</v>
      </c>
      <c r="AG15" s="23">
        <f t="shared" si="19"/>
        <v>2.5908773715167426</v>
      </c>
      <c r="AH15" s="8"/>
      <c r="AI15" s="23">
        <f t="shared" si="20"/>
        <v>264.74298769903595</v>
      </c>
    </row>
    <row r="16" spans="2:35" x14ac:dyDescent="0.25">
      <c r="E16" s="8">
        <v>13</v>
      </c>
      <c r="F16" s="9">
        <f t="shared" si="0"/>
        <v>2.6380000000000001E-2</v>
      </c>
      <c r="G16" s="21">
        <f t="shared" si="1"/>
        <v>2.1875</v>
      </c>
      <c r="H16" s="21">
        <f t="shared" si="2"/>
        <v>1.5593432017953395</v>
      </c>
      <c r="I16" s="36">
        <f t="shared" si="3"/>
        <v>1.8026453639287003E-2</v>
      </c>
      <c r="J16" s="29">
        <f t="shared" si="4"/>
        <v>0.23434389731073105</v>
      </c>
      <c r="K16" s="23">
        <f t="shared" si="5"/>
        <v>2.5573910827385533</v>
      </c>
      <c r="L16" s="8"/>
      <c r="M16" s="23">
        <f t="shared" si="6"/>
        <v>283.80046272675179</v>
      </c>
      <c r="P16" s="8">
        <v>13</v>
      </c>
      <c r="Q16" s="9">
        <f t="shared" si="7"/>
        <v>3.1379999999999998E-2</v>
      </c>
      <c r="R16" s="21">
        <f t="shared" si="8"/>
        <v>2.1875</v>
      </c>
      <c r="S16" s="21">
        <f t="shared" si="9"/>
        <v>1.4638780194026668</v>
      </c>
      <c r="T16" s="36">
        <f t="shared" si="10"/>
        <v>2.7095880509303751E-2</v>
      </c>
      <c r="U16" s="29">
        <f t="shared" si="11"/>
        <v>0.35224644662094878</v>
      </c>
      <c r="V16" s="23">
        <f t="shared" si="12"/>
        <v>2.6330572070292</v>
      </c>
      <c r="W16" s="8"/>
      <c r="X16" s="23">
        <f t="shared" si="13"/>
        <v>266.42579953128535</v>
      </c>
      <c r="AA16" s="8">
        <v>13</v>
      </c>
      <c r="AB16" s="9">
        <f t="shared" si="14"/>
        <v>2.138E-2</v>
      </c>
      <c r="AC16" s="21">
        <f t="shared" si="15"/>
        <v>2.1875</v>
      </c>
      <c r="AD16" s="21">
        <f t="shared" si="16"/>
        <v>1.6615465683371315</v>
      </c>
      <c r="AE16" s="36">
        <f t="shared" si="17"/>
        <v>7.8442073210721348E-3</v>
      </c>
      <c r="AF16" s="29">
        <f t="shared" si="18"/>
        <v>0.10197469517393776</v>
      </c>
      <c r="AG16" s="23">
        <f t="shared" si="19"/>
        <v>2.4835457169836865</v>
      </c>
      <c r="AH16" s="8"/>
      <c r="AI16" s="23">
        <f t="shared" si="20"/>
        <v>302.40147543735793</v>
      </c>
    </row>
    <row r="17" spans="5:35" x14ac:dyDescent="0.25">
      <c r="E17" s="8">
        <v>14</v>
      </c>
      <c r="F17" s="9">
        <f t="shared" si="0"/>
        <v>2.6380000000000001E-2</v>
      </c>
      <c r="G17" s="21">
        <f t="shared" si="1"/>
        <v>2.1875</v>
      </c>
      <c r="H17" s="21">
        <f t="shared" si="2"/>
        <v>1.5192649913242067</v>
      </c>
      <c r="I17" s="36">
        <f t="shared" si="3"/>
        <v>1.7563138057334515E-2</v>
      </c>
      <c r="J17" s="29">
        <f t="shared" si="4"/>
        <v>0.2458839328026832</v>
      </c>
      <c r="K17" s="23">
        <f t="shared" si="5"/>
        <v>2.4276204367520493</v>
      </c>
      <c r="L17" s="8"/>
      <c r="M17" s="23">
        <f t="shared" si="6"/>
        <v>319.04564817808341</v>
      </c>
      <c r="P17" s="8">
        <v>14</v>
      </c>
      <c r="Q17" s="9">
        <f t="shared" si="7"/>
        <v>3.1379999999999998E-2</v>
      </c>
      <c r="R17" s="21">
        <f t="shared" si="8"/>
        <v>2.1875</v>
      </c>
      <c r="S17" s="21">
        <f t="shared" si="9"/>
        <v>1.4193391566664733</v>
      </c>
      <c r="T17" s="36">
        <f t="shared" si="10"/>
        <v>2.6271481422272838E-2</v>
      </c>
      <c r="U17" s="29">
        <f t="shared" si="11"/>
        <v>0.36780073991181972</v>
      </c>
      <c r="V17" s="23">
        <f t="shared" si="12"/>
        <v>2.4752717415541579</v>
      </c>
      <c r="W17" s="8"/>
      <c r="X17" s="23">
        <f t="shared" si="13"/>
        <v>298.06122289995938</v>
      </c>
      <c r="AA17" s="8">
        <v>14</v>
      </c>
      <c r="AB17" s="9">
        <f t="shared" si="14"/>
        <v>2.138E-2</v>
      </c>
      <c r="AC17" s="21">
        <f t="shared" si="15"/>
        <v>2.1875</v>
      </c>
      <c r="AD17" s="21">
        <f t="shared" si="16"/>
        <v>1.6267663047417531</v>
      </c>
      <c r="AE17" s="36">
        <f t="shared" si="17"/>
        <v>7.6800087343321154E-3</v>
      </c>
      <c r="AF17" s="29">
        <f t="shared" si="18"/>
        <v>0.10752012228064961</v>
      </c>
      <c r="AG17" s="23">
        <f t="shared" si="19"/>
        <v>2.3806604651215753</v>
      </c>
      <c r="AH17" s="8"/>
      <c r="AI17" s="23">
        <f t="shared" si="20"/>
        <v>341.62092399576812</v>
      </c>
    </row>
    <row r="18" spans="5:35" x14ac:dyDescent="0.25">
      <c r="E18" s="8">
        <v>15</v>
      </c>
      <c r="F18" s="9">
        <f t="shared" si="0"/>
        <v>2.6380000000000001E-2</v>
      </c>
      <c r="G18" s="21">
        <f t="shared" si="1"/>
        <v>2.1875</v>
      </c>
      <c r="H18" s="21">
        <f t="shared" si="2"/>
        <v>1.4802168702860603</v>
      </c>
      <c r="I18" s="36">
        <f t="shared" si="3"/>
        <v>1.7111730604000969E-2</v>
      </c>
      <c r="J18" s="29">
        <f t="shared" si="4"/>
        <v>0.25667595906001456</v>
      </c>
      <c r="K18" s="23">
        <f t="shared" si="5"/>
        <v>2.3044347908750007</v>
      </c>
      <c r="L18" s="8"/>
      <c r="M18" s="23">
        <f t="shared" si="6"/>
        <v>355.25204886865447</v>
      </c>
      <c r="P18" s="8">
        <v>15</v>
      </c>
      <c r="Q18" s="9">
        <f t="shared" si="7"/>
        <v>3.1379999999999998E-2</v>
      </c>
      <c r="R18" s="21">
        <f t="shared" si="8"/>
        <v>2.1875</v>
      </c>
      <c r="S18" s="21">
        <f t="shared" si="9"/>
        <v>1.3761554002079475</v>
      </c>
      <c r="T18" s="36">
        <f t="shared" si="10"/>
        <v>2.5472164888084729E-2</v>
      </c>
      <c r="U18" s="29">
        <f t="shared" si="11"/>
        <v>0.38208247332127093</v>
      </c>
      <c r="V18" s="23">
        <f t="shared" si="12"/>
        <v>2.3269415408749996</v>
      </c>
      <c r="W18" s="8"/>
      <c r="X18" s="23">
        <f t="shared" si="13"/>
        <v>330.27729604990736</v>
      </c>
      <c r="AA18" s="8">
        <v>15</v>
      </c>
      <c r="AB18" s="9">
        <f t="shared" si="14"/>
        <v>2.138E-2</v>
      </c>
      <c r="AC18" s="21">
        <f t="shared" si="15"/>
        <v>2.1875</v>
      </c>
      <c r="AD18" s="21">
        <f t="shared" si="16"/>
        <v>1.5927140777592599</v>
      </c>
      <c r="AE18" s="36">
        <f t="shared" si="17"/>
        <v>7.5192472285849675E-3</v>
      </c>
      <c r="AF18" s="29">
        <f t="shared" si="18"/>
        <v>0.11278870842877452</v>
      </c>
      <c r="AG18" s="23">
        <f t="shared" si="19"/>
        <v>2.2820374158749992</v>
      </c>
      <c r="AH18" s="8"/>
      <c r="AI18" s="23">
        <f t="shared" si="20"/>
        <v>382.25137866222235</v>
      </c>
    </row>
    <row r="19" spans="5:35" x14ac:dyDescent="0.25">
      <c r="E19" s="8">
        <v>16</v>
      </c>
      <c r="F19" s="9">
        <f t="shared" si="0"/>
        <v>2.6380000000000001E-2</v>
      </c>
      <c r="G19" s="21">
        <f t="shared" si="1"/>
        <v>2.1875</v>
      </c>
      <c r="H19" s="21">
        <f t="shared" si="2"/>
        <v>1.4421723633411212</v>
      </c>
      <c r="I19" s="36">
        <f t="shared" si="3"/>
        <v>1.6671925216782249E-2</v>
      </c>
      <c r="J19" s="29">
        <f t="shared" si="4"/>
        <v>0.26675080346851598</v>
      </c>
      <c r="K19" s="23">
        <f t="shared" si="5"/>
        <v>2.1875</v>
      </c>
      <c r="L19" s="8"/>
      <c r="M19" s="23">
        <f t="shared" si="6"/>
        <v>392.27088282878498</v>
      </c>
      <c r="P19" s="8">
        <v>16</v>
      </c>
      <c r="Q19" s="9">
        <f t="shared" si="7"/>
        <v>3.388E-2</v>
      </c>
      <c r="R19" s="21">
        <f t="shared" si="8"/>
        <v>2.1875</v>
      </c>
      <c r="S19" s="21">
        <f t="shared" si="9"/>
        <v>1.2835887889721478</v>
      </c>
      <c r="T19" s="36">
        <f t="shared" si="10"/>
        <v>2.3758788634085194E-2</v>
      </c>
      <c r="U19" s="29">
        <f t="shared" si="11"/>
        <v>0.3801406181453631</v>
      </c>
      <c r="V19" s="23">
        <f t="shared" si="12"/>
        <v>2.1875</v>
      </c>
      <c r="W19" s="8"/>
      <c r="X19" s="23">
        <f t="shared" si="13"/>
        <v>349.13615060042417</v>
      </c>
      <c r="AA19" s="8">
        <v>16</v>
      </c>
      <c r="AB19" s="9">
        <f t="shared" si="14"/>
        <v>1.8880000000000001E-2</v>
      </c>
      <c r="AC19" s="21">
        <f t="shared" si="15"/>
        <v>2.1875</v>
      </c>
      <c r="AD19" s="21">
        <f t="shared" si="16"/>
        <v>1.6217334086713615</v>
      </c>
      <c r="AE19" s="36">
        <f t="shared" si="17"/>
        <v>7.6562482927327738E-3</v>
      </c>
      <c r="AF19" s="29">
        <f t="shared" si="18"/>
        <v>0.12249997268372438</v>
      </c>
      <c r="AG19" s="23">
        <f t="shared" si="19"/>
        <v>2.1875</v>
      </c>
      <c r="AH19" s="8"/>
      <c r="AI19" s="23">
        <f t="shared" si="20"/>
        <v>441.11148715861032</v>
      </c>
    </row>
    <row r="20" spans="5:35" x14ac:dyDescent="0.25">
      <c r="E20" s="8">
        <v>17</v>
      </c>
      <c r="F20" s="9">
        <f t="shared" si="0"/>
        <v>2.6380000000000001E-2</v>
      </c>
      <c r="G20" s="21">
        <f t="shared" si="1"/>
        <v>2.1875</v>
      </c>
      <c r="H20" s="21">
        <f t="shared" si="2"/>
        <v>1.40510567561831</v>
      </c>
      <c r="I20" s="36">
        <f t="shared" si="3"/>
        <v>1.6243423699587138E-2</v>
      </c>
      <c r="J20" s="29">
        <f t="shared" si="4"/>
        <v>0.27613820289298135</v>
      </c>
      <c r="K20" s="23">
        <f t="shared" si="5"/>
        <v>2.0764988746689861</v>
      </c>
      <c r="L20" s="8"/>
      <c r="M20" s="23">
        <f t="shared" si="6"/>
        <v>429.96233673920284</v>
      </c>
      <c r="P20" s="8">
        <v>17</v>
      </c>
      <c r="Q20" s="9">
        <f t="shared" si="7"/>
        <v>3.388E-2</v>
      </c>
      <c r="R20" s="21">
        <f t="shared" si="8"/>
        <v>2.1875</v>
      </c>
      <c r="S20" s="21">
        <f t="shared" si="9"/>
        <v>1.2415258917593412</v>
      </c>
      <c r="T20" s="36">
        <f t="shared" si="10"/>
        <v>2.29802188204484E-2</v>
      </c>
      <c r="U20" s="29">
        <f t="shared" si="11"/>
        <v>0.39066371994762283</v>
      </c>
      <c r="V20" s="23">
        <f t="shared" si="12"/>
        <v>2.0464813603861942</v>
      </c>
      <c r="W20" s="8"/>
      <c r="X20" s="23">
        <f t="shared" si="13"/>
        <v>379.90692287835844</v>
      </c>
      <c r="AA20" s="8">
        <v>17</v>
      </c>
      <c r="AB20" s="9">
        <f t="shared" si="14"/>
        <v>1.8880000000000001E-2</v>
      </c>
      <c r="AC20" s="21">
        <f t="shared" si="15"/>
        <v>2.1875</v>
      </c>
      <c r="AD20" s="21">
        <f t="shared" si="16"/>
        <v>1.5916824441262576</v>
      </c>
      <c r="AE20" s="36">
        <f t="shared" si="17"/>
        <v>7.5143768576601492E-3</v>
      </c>
      <c r="AF20" s="29">
        <f t="shared" si="18"/>
        <v>0.12774440658022254</v>
      </c>
      <c r="AG20" s="23">
        <f t="shared" si="19"/>
        <v>2.1071817046424806</v>
      </c>
      <c r="AH20" s="8"/>
      <c r="AI20" s="23">
        <f t="shared" si="20"/>
        <v>487.05482790263483</v>
      </c>
    </row>
    <row r="21" spans="5:35" x14ac:dyDescent="0.25">
      <c r="E21" s="8">
        <v>18</v>
      </c>
      <c r="F21" s="9">
        <f t="shared" si="0"/>
        <v>2.6380000000000001E-2</v>
      </c>
      <c r="G21" s="21">
        <f t="shared" si="1"/>
        <v>2.1875</v>
      </c>
      <c r="H21" s="21">
        <f t="shared" si="2"/>
        <v>1.3689916752258517</v>
      </c>
      <c r="I21" s="36">
        <f t="shared" si="3"/>
        <v>1.5825935520554897E-2</v>
      </c>
      <c r="J21" s="29">
        <f t="shared" si="4"/>
        <v>0.28486683936998813</v>
      </c>
      <c r="K21" s="23">
        <f t="shared" si="5"/>
        <v>1.9711303206864306</v>
      </c>
      <c r="L21" s="8"/>
      <c r="M21" s="23">
        <f t="shared" si="6"/>
        <v>468.19515292724128</v>
      </c>
      <c r="P21" s="8">
        <v>18</v>
      </c>
      <c r="Q21" s="9">
        <f t="shared" si="7"/>
        <v>3.388E-2</v>
      </c>
      <c r="R21" s="21">
        <f t="shared" si="8"/>
        <v>2.1875</v>
      </c>
      <c r="S21" s="21">
        <f t="shared" si="9"/>
        <v>1.2008413856147149</v>
      </c>
      <c r="T21" s="36">
        <f t="shared" si="10"/>
        <v>2.2227162553147758E-2</v>
      </c>
      <c r="U21" s="29">
        <f t="shared" si="11"/>
        <v>0.40008892595665968</v>
      </c>
      <c r="V21" s="23">
        <f t="shared" si="12"/>
        <v>1.9145535809865735</v>
      </c>
      <c r="W21" s="8"/>
      <c r="X21" s="23">
        <f t="shared" si="13"/>
        <v>410.68775388023249</v>
      </c>
      <c r="AA21" s="8">
        <v>18</v>
      </c>
      <c r="AB21" s="9">
        <f t="shared" si="14"/>
        <v>1.8880000000000001E-2</v>
      </c>
      <c r="AC21" s="21">
        <f t="shared" si="15"/>
        <v>2.1875</v>
      </c>
      <c r="AD21" s="21">
        <f t="shared" si="16"/>
        <v>1.5621883284844709</v>
      </c>
      <c r="AE21" s="36">
        <f t="shared" si="17"/>
        <v>7.3751343216670751E-3</v>
      </c>
      <c r="AF21" s="29">
        <f t="shared" si="18"/>
        <v>0.13275241779000735</v>
      </c>
      <c r="AG21" s="23">
        <f t="shared" si="19"/>
        <v>2.0298124509165674</v>
      </c>
      <c r="AH21" s="8"/>
      <c r="AI21" s="23">
        <f t="shared" si="20"/>
        <v>534.268408341689</v>
      </c>
    </row>
    <row r="22" spans="5:35" x14ac:dyDescent="0.25">
      <c r="E22" s="8">
        <v>19</v>
      </c>
      <c r="F22" s="9">
        <f t="shared" si="0"/>
        <v>2.6380000000000001E-2</v>
      </c>
      <c r="G22" s="21">
        <f t="shared" si="1"/>
        <v>2.1875</v>
      </c>
      <c r="H22" s="21">
        <f t="shared" si="2"/>
        <v>1.3338058762113951</v>
      </c>
      <c r="I22" s="36">
        <f t="shared" si="3"/>
        <v>1.5419177615069366E-2</v>
      </c>
      <c r="J22" s="29">
        <f t="shared" si="4"/>
        <v>0.29296437468631797</v>
      </c>
      <c r="K22" s="23">
        <f t="shared" si="5"/>
        <v>1.8711085223914476</v>
      </c>
      <c r="L22" s="8"/>
      <c r="M22" s="23">
        <f t="shared" si="6"/>
        <v>506.84623296033016</v>
      </c>
      <c r="P22" s="8">
        <v>19</v>
      </c>
      <c r="Q22" s="9">
        <f t="shared" si="7"/>
        <v>3.388E-2</v>
      </c>
      <c r="R22" s="21">
        <f t="shared" si="8"/>
        <v>2.1875</v>
      </c>
      <c r="S22" s="21">
        <f t="shared" si="9"/>
        <v>1.1614901009930698</v>
      </c>
      <c r="T22" s="36">
        <f t="shared" si="10"/>
        <v>2.1498783759379969E-2</v>
      </c>
      <c r="U22" s="29">
        <f t="shared" si="11"/>
        <v>0.40847689142821941</v>
      </c>
      <c r="V22" s="23">
        <f t="shared" si="12"/>
        <v>1.791130613462703</v>
      </c>
      <c r="W22" s="8"/>
      <c r="X22" s="23">
        <f t="shared" si="13"/>
        <v>441.36623837736653</v>
      </c>
      <c r="AA22" s="8">
        <v>19</v>
      </c>
      <c r="AB22" s="9">
        <f t="shared" si="14"/>
        <v>1.8880000000000001E-2</v>
      </c>
      <c r="AC22" s="21">
        <f t="shared" si="15"/>
        <v>2.1875</v>
      </c>
      <c r="AD22" s="21">
        <f t="shared" si="16"/>
        <v>1.5332407432518753</v>
      </c>
      <c r="AE22" s="36">
        <f t="shared" si="17"/>
        <v>7.2384719708572893E-3</v>
      </c>
      <c r="AF22" s="29">
        <f t="shared" si="18"/>
        <v>0.13753096744628851</v>
      </c>
      <c r="AG22" s="23">
        <f t="shared" si="19"/>
        <v>1.9552839590522983</v>
      </c>
      <c r="AH22" s="8"/>
      <c r="AI22" s="23">
        <f t="shared" si="20"/>
        <v>582.63148243571266</v>
      </c>
    </row>
    <row r="23" spans="5:35" x14ac:dyDescent="0.25">
      <c r="E23" s="8">
        <v>20</v>
      </c>
      <c r="F23" s="9">
        <f t="shared" si="0"/>
        <v>2.6380000000000001E-2</v>
      </c>
      <c r="G23" s="21">
        <f t="shared" si="1"/>
        <v>2.1875</v>
      </c>
      <c r="H23" s="21">
        <f t="shared" si="2"/>
        <v>1.2995244219600879</v>
      </c>
      <c r="I23" s="36">
        <f t="shared" si="3"/>
        <v>1.5022874193835972E-2</v>
      </c>
      <c r="J23" s="29">
        <f t="shared" si="4"/>
        <v>0.30045748387671944</v>
      </c>
      <c r="K23" s="23">
        <f t="shared" si="5"/>
        <v>1.7761621673734362</v>
      </c>
      <c r="L23" s="8"/>
      <c r="M23" s="23">
        <f t="shared" si="6"/>
        <v>545.80025722323694</v>
      </c>
      <c r="P23" s="8">
        <v>20</v>
      </c>
      <c r="Q23" s="9">
        <f t="shared" si="7"/>
        <v>3.388E-2</v>
      </c>
      <c r="R23" s="21">
        <f t="shared" si="8"/>
        <v>2.1875</v>
      </c>
      <c r="S23" s="21">
        <f t="shared" si="9"/>
        <v>1.1234283485443859</v>
      </c>
      <c r="T23" s="36">
        <f t="shared" si="10"/>
        <v>2.0794273764247268E-2</v>
      </c>
      <c r="U23" s="29">
        <f t="shared" si="11"/>
        <v>0.41588547528494535</v>
      </c>
      <c r="V23" s="23">
        <f t="shared" si="12"/>
        <v>1.6756641894713193</v>
      </c>
      <c r="W23" s="8"/>
      <c r="X23" s="23">
        <f t="shared" si="13"/>
        <v>471.83990638864208</v>
      </c>
      <c r="AA23" s="8">
        <v>20</v>
      </c>
      <c r="AB23" s="9">
        <f t="shared" si="14"/>
        <v>1.8880000000000001E-2</v>
      </c>
      <c r="AC23" s="21">
        <f t="shared" si="15"/>
        <v>2.1875</v>
      </c>
      <c r="AD23" s="21">
        <f t="shared" si="16"/>
        <v>1.5048295611375975</v>
      </c>
      <c r="AE23" s="36">
        <f t="shared" si="17"/>
        <v>7.1043419940103733E-3</v>
      </c>
      <c r="AF23" s="29">
        <f t="shared" si="18"/>
        <v>0.14208683988020746</v>
      </c>
      <c r="AG23" s="23">
        <f t="shared" si="19"/>
        <v>1.8834919249809923</v>
      </c>
      <c r="AH23" s="8"/>
      <c r="AI23" s="23">
        <f t="shared" si="20"/>
        <v>632.02841567779092</v>
      </c>
    </row>
    <row r="24" spans="5:35" x14ac:dyDescent="0.25">
      <c r="E24" s="8">
        <v>21</v>
      </c>
      <c r="F24" s="9">
        <f t="shared" si="0"/>
        <v>2.6380000000000001E-2</v>
      </c>
      <c r="G24" s="21">
        <f t="shared" si="1"/>
        <v>2.1875</v>
      </c>
      <c r="H24" s="21">
        <f t="shared" si="2"/>
        <v>1.2661240690193571</v>
      </c>
      <c r="I24" s="36">
        <f t="shared" si="3"/>
        <v>1.4636756555891552E-2</v>
      </c>
      <c r="J24" s="29">
        <f t="shared" si="4"/>
        <v>0.30737188767372259</v>
      </c>
      <c r="K24" s="23">
        <f t="shared" si="5"/>
        <v>1.6860337105282599</v>
      </c>
      <c r="L24" s="8"/>
      <c r="M24" s="23">
        <f t="shared" si="6"/>
        <v>584.94931988694304</v>
      </c>
      <c r="P24" s="44">
        <v>21</v>
      </c>
      <c r="Q24" s="51">
        <f t="shared" si="7"/>
        <v>3.6380000000000003E-2</v>
      </c>
      <c r="R24" s="54">
        <f t="shared" si="8"/>
        <v>2.1875</v>
      </c>
      <c r="S24" s="54">
        <f t="shared" si="9"/>
        <v>1.0328769131311546</v>
      </c>
      <c r="T24" s="45">
        <f t="shared" si="10"/>
        <v>1.9118197724179376E-2</v>
      </c>
      <c r="U24" s="46">
        <f t="shared" si="11"/>
        <v>0.4014821522077669</v>
      </c>
      <c r="V24" s="50">
        <f t="shared" si="12"/>
        <v>1.530233930913022</v>
      </c>
      <c r="W24" s="44"/>
      <c r="X24" s="50">
        <f t="shared" si="13"/>
        <v>477.18913386659341</v>
      </c>
      <c r="AA24" s="8">
        <v>21</v>
      </c>
      <c r="AB24" s="9">
        <f t="shared" si="14"/>
        <v>1.6379999999999999E-2</v>
      </c>
      <c r="AC24" s="21">
        <f t="shared" si="15"/>
        <v>2.1875</v>
      </c>
      <c r="AD24" s="21">
        <f t="shared" si="16"/>
        <v>1.5551408879564834</v>
      </c>
      <c r="AE24" s="36">
        <f t="shared" si="17"/>
        <v>7.3418631599446657E-3</v>
      </c>
      <c r="AF24" s="29">
        <f t="shared" si="18"/>
        <v>0.15417912635883799</v>
      </c>
      <c r="AG24" s="23">
        <f t="shared" si="19"/>
        <v>1.8594604955057259</v>
      </c>
      <c r="AH24" s="8"/>
      <c r="AI24" s="23">
        <f t="shared" si="20"/>
        <v>718.47509023589532</v>
      </c>
    </row>
    <row r="25" spans="5:35" x14ac:dyDescent="0.25">
      <c r="E25" s="8">
        <v>22</v>
      </c>
      <c r="F25" s="9">
        <f t="shared" si="0"/>
        <v>2.6380000000000001E-2</v>
      </c>
      <c r="G25" s="21">
        <f t="shared" si="1"/>
        <v>2.1875</v>
      </c>
      <c r="H25" s="21">
        <f t="shared" si="2"/>
        <v>1.2335821713394231</v>
      </c>
      <c r="I25" s="36">
        <f t="shared" si="3"/>
        <v>1.4260562906420186E-2</v>
      </c>
      <c r="J25" s="29">
        <f t="shared" si="4"/>
        <v>0.31373238394124409</v>
      </c>
      <c r="K25" s="23">
        <f t="shared" si="5"/>
        <v>1.6004786754587008</v>
      </c>
      <c r="L25" s="8"/>
      <c r="M25" s="23">
        <f t="shared" si="6"/>
        <v>624.1925786977481</v>
      </c>
      <c r="P25" s="8">
        <v>22</v>
      </c>
      <c r="Q25" s="9">
        <f t="shared" si="7"/>
        <v>3.6380000000000003E-2</v>
      </c>
      <c r="R25" s="21">
        <f t="shared" si="8"/>
        <v>2.1875</v>
      </c>
      <c r="S25" s="21">
        <f t="shared" si="9"/>
        <v>0.99661988183017292</v>
      </c>
      <c r="T25" s="36">
        <f t="shared" si="10"/>
        <v>1.8447092499063449E-2</v>
      </c>
      <c r="U25" s="29">
        <f t="shared" si="11"/>
        <v>0.40583603497939585</v>
      </c>
      <c r="V25" s="23"/>
      <c r="W25" s="23">
        <f>SUM(V4:V24)</f>
        <v>63.248551337098235</v>
      </c>
      <c r="X25" s="23">
        <f t="shared" si="13"/>
        <v>504.28966020606748</v>
      </c>
      <c r="AA25" s="8">
        <v>22</v>
      </c>
      <c r="AB25" s="9">
        <f t="shared" si="14"/>
        <v>1.6379999999999999E-2</v>
      </c>
      <c r="AC25" s="21">
        <f t="shared" si="15"/>
        <v>2.1875</v>
      </c>
      <c r="AD25" s="21">
        <f t="shared" si="16"/>
        <v>1.5300782069270185</v>
      </c>
      <c r="AE25" s="36">
        <f t="shared" si="17"/>
        <v>7.2235415493660483E-3</v>
      </c>
      <c r="AF25" s="29">
        <f t="shared" si="18"/>
        <v>0.15891791408605307</v>
      </c>
      <c r="AG25" s="23">
        <f t="shared" si="19"/>
        <v>1.8000092423273251</v>
      </c>
      <c r="AH25" s="8"/>
      <c r="AI25" s="23">
        <f t="shared" si="20"/>
        <v>774.2195727050713</v>
      </c>
    </row>
    <row r="26" spans="5:35" x14ac:dyDescent="0.25">
      <c r="E26" s="8">
        <v>23</v>
      </c>
      <c r="F26" s="9">
        <f t="shared" si="0"/>
        <v>2.6380000000000001E-2</v>
      </c>
      <c r="G26" s="21">
        <f t="shared" si="1"/>
        <v>2.1875</v>
      </c>
      <c r="H26" s="21">
        <f t="shared" si="2"/>
        <v>1.2018766649188635</v>
      </c>
      <c r="I26" s="36">
        <f t="shared" si="3"/>
        <v>1.3894038179251531E-2</v>
      </c>
      <c r="J26" s="29">
        <f t="shared" si="4"/>
        <v>0.31956287812278522</v>
      </c>
      <c r="K26" s="23">
        <f t="shared" si="5"/>
        <v>1.5192649913242069</v>
      </c>
      <c r="L26" s="8"/>
      <c r="M26" s="23">
        <f t="shared" si="6"/>
        <v>663.43591903521269</v>
      </c>
      <c r="P26" s="8">
        <v>23</v>
      </c>
      <c r="Q26" s="9">
        <f t="shared" si="7"/>
        <v>3.6380000000000003E-2</v>
      </c>
      <c r="R26" s="21">
        <f t="shared" si="8"/>
        <v>2.1875</v>
      </c>
      <c r="S26" s="21">
        <f t="shared" si="9"/>
        <v>0.96163557944978961</v>
      </c>
      <c r="T26" s="36">
        <f t="shared" si="10"/>
        <v>1.7799545050139379E-2</v>
      </c>
      <c r="U26" s="29">
        <f t="shared" si="11"/>
        <v>0.40938953615320572</v>
      </c>
      <c r="V26" s="23"/>
      <c r="W26" s="8"/>
      <c r="X26" s="23">
        <f t="shared" si="13"/>
        <v>530.82283985628385</v>
      </c>
      <c r="AA26" s="8">
        <v>23</v>
      </c>
      <c r="AB26" s="9">
        <f t="shared" si="14"/>
        <v>1.6379999999999999E-2</v>
      </c>
      <c r="AC26" s="21">
        <f t="shared" si="15"/>
        <v>2.1875</v>
      </c>
      <c r="AD26" s="21">
        <f t="shared" si="16"/>
        <v>1.5054194365562277</v>
      </c>
      <c r="AE26" s="36">
        <f t="shared" si="17"/>
        <v>7.1071268121825001E-3</v>
      </c>
      <c r="AF26" s="29">
        <f t="shared" si="18"/>
        <v>0.1634639166801975</v>
      </c>
      <c r="AG26" s="23">
        <f t="shared" si="19"/>
        <v>1.74245878323034</v>
      </c>
      <c r="AH26" s="8"/>
      <c r="AI26" s="23">
        <f t="shared" si="20"/>
        <v>830.99152897903764</v>
      </c>
    </row>
    <row r="27" spans="5:35" x14ac:dyDescent="0.25">
      <c r="E27" s="8">
        <v>24</v>
      </c>
      <c r="F27" s="9">
        <f t="shared" si="0"/>
        <v>2.6380000000000001E-2</v>
      </c>
      <c r="G27" s="21">
        <f t="shared" si="1"/>
        <v>2.1875</v>
      </c>
      <c r="H27" s="21">
        <f t="shared" si="2"/>
        <v>1.1709860528448168</v>
      </c>
      <c r="I27" s="36">
        <f t="shared" si="3"/>
        <v>1.3536933863921283E-2</v>
      </c>
      <c r="J27" s="29">
        <f t="shared" si="4"/>
        <v>0.32488641273411079</v>
      </c>
      <c r="K27" s="23">
        <f t="shared" si="5"/>
        <v>1.4421723633411212</v>
      </c>
      <c r="L27" s="8"/>
      <c r="M27" s="23">
        <f t="shared" si="6"/>
        <v>702.5916317068901</v>
      </c>
      <c r="P27" s="8">
        <v>24</v>
      </c>
      <c r="Q27" s="9">
        <f t="shared" si="7"/>
        <v>3.6380000000000003E-2</v>
      </c>
      <c r="R27" s="21">
        <f t="shared" si="8"/>
        <v>2.1875</v>
      </c>
      <c r="S27" s="21">
        <f t="shared" si="9"/>
        <v>0.92787932944459517</v>
      </c>
      <c r="T27" s="36">
        <f t="shared" si="10"/>
        <v>1.7174728429861032E-2</v>
      </c>
      <c r="U27" s="29">
        <f t="shared" si="11"/>
        <v>0.41219348231666475</v>
      </c>
      <c r="V27" s="23"/>
      <c r="W27" s="8"/>
      <c r="X27" s="23">
        <f t="shared" si="13"/>
        <v>556.72759766675711</v>
      </c>
      <c r="AA27" s="8">
        <v>24</v>
      </c>
      <c r="AB27" s="9">
        <f t="shared" si="14"/>
        <v>1.6379999999999999E-2</v>
      </c>
      <c r="AC27" s="21">
        <f t="shared" si="15"/>
        <v>2.1875</v>
      </c>
      <c r="AD27" s="21">
        <f t="shared" si="16"/>
        <v>1.4811580674120186</v>
      </c>
      <c r="AE27" s="36">
        <f t="shared" si="17"/>
        <v>6.9925882171850088E-3</v>
      </c>
      <c r="AF27" s="29">
        <f t="shared" si="18"/>
        <v>0.16782211721244022</v>
      </c>
      <c r="AG27" s="23">
        <f t="shared" si="19"/>
        <v>1.68674834543124</v>
      </c>
      <c r="AH27" s="8"/>
      <c r="AI27" s="23">
        <f t="shared" si="20"/>
        <v>888.69484044721116</v>
      </c>
    </row>
    <row r="28" spans="5:35" x14ac:dyDescent="0.25">
      <c r="E28" s="8">
        <v>25</v>
      </c>
      <c r="F28" s="9">
        <f t="shared" si="0"/>
        <v>2.6380000000000001E-2</v>
      </c>
      <c r="G28" s="21">
        <f t="shared" si="1"/>
        <v>2.1875</v>
      </c>
      <c r="H28" s="21">
        <f t="shared" si="2"/>
        <v>1.1408893907176842</v>
      </c>
      <c r="I28" s="36">
        <f t="shared" si="3"/>
        <v>1.3189007837176565E-2</v>
      </c>
      <c r="J28" s="29">
        <f t="shared" si="4"/>
        <v>0.32972519592941413</v>
      </c>
      <c r="K28" s="23">
        <f t="shared" si="5"/>
        <v>1.3689916752258517</v>
      </c>
      <c r="L28" s="8"/>
      <c r="M28" s="23">
        <f t="shared" si="6"/>
        <v>741.57810396649472</v>
      </c>
      <c r="P28" s="8">
        <v>25</v>
      </c>
      <c r="Q28" s="9">
        <f t="shared" si="7"/>
        <v>3.6380000000000003E-2</v>
      </c>
      <c r="R28" s="21">
        <f t="shared" si="8"/>
        <v>2.1875</v>
      </c>
      <c r="S28" s="21">
        <f t="shared" si="9"/>
        <v>0.89530802354792183</v>
      </c>
      <c r="T28" s="36">
        <f t="shared" si="10"/>
        <v>1.6571844718984381E-2</v>
      </c>
      <c r="U28" s="29">
        <f t="shared" si="11"/>
        <v>0.41429611797460952</v>
      </c>
      <c r="V28" s="23"/>
      <c r="W28" s="8"/>
      <c r="X28" s="23">
        <f t="shared" si="13"/>
        <v>581.95021530614918</v>
      </c>
      <c r="AA28" s="8">
        <v>25</v>
      </c>
      <c r="AB28" s="9">
        <f t="shared" si="14"/>
        <v>1.6379999999999999E-2</v>
      </c>
      <c r="AC28" s="21">
        <f t="shared" si="15"/>
        <v>2.1875</v>
      </c>
      <c r="AD28" s="21">
        <f t="shared" si="16"/>
        <v>1.4572876949684355</v>
      </c>
      <c r="AE28" s="36">
        <f t="shared" si="17"/>
        <v>6.8798955284293355E-3</v>
      </c>
      <c r="AF28" s="29">
        <f t="shared" si="18"/>
        <v>0.17199738821073338</v>
      </c>
      <c r="AG28" s="23">
        <f t="shared" si="19"/>
        <v>1.632819099192961</v>
      </c>
      <c r="AH28" s="8"/>
      <c r="AI28" s="23">
        <f t="shared" si="20"/>
        <v>947.23700172948304</v>
      </c>
    </row>
    <row r="29" spans="5:35" x14ac:dyDescent="0.25">
      <c r="E29" s="8">
        <v>26</v>
      </c>
      <c r="F29" s="9">
        <f t="shared" si="0"/>
        <v>2.6380000000000001E-2</v>
      </c>
      <c r="G29" s="21">
        <f t="shared" si="1"/>
        <v>2.1875</v>
      </c>
      <c r="H29" s="21">
        <f t="shared" si="2"/>
        <v>1.1115662724504412</v>
      </c>
      <c r="I29" s="36">
        <f t="shared" si="3"/>
        <v>1.2850024198811901E-2</v>
      </c>
      <c r="J29" s="29">
        <f t="shared" si="4"/>
        <v>0.33410062916910943</v>
      </c>
      <c r="K29" s="23">
        <f t="shared" si="5"/>
        <v>1.2995244219600874</v>
      </c>
      <c r="L29" s="8"/>
      <c r="M29" s="23">
        <f t="shared" si="6"/>
        <v>780.31952326020973</v>
      </c>
      <c r="P29" s="8">
        <v>26</v>
      </c>
      <c r="Q29" s="9">
        <f t="shared" si="7"/>
        <v>3.8879999999999998E-2</v>
      </c>
      <c r="R29" s="21">
        <f t="shared" si="8"/>
        <v>2.1875</v>
      </c>
      <c r="S29" s="21">
        <f t="shared" si="9"/>
        <v>0.81142435310059713</v>
      </c>
      <c r="T29" s="36">
        <f t="shared" si="10"/>
        <v>1.5019186723579834E-2</v>
      </c>
      <c r="U29" s="29">
        <f t="shared" si="11"/>
        <v>0.39049885481307567</v>
      </c>
      <c r="V29" s="23"/>
      <c r="W29" s="8"/>
      <c r="X29" s="23">
        <f t="shared" si="13"/>
        <v>569.61989587661924</v>
      </c>
      <c r="AA29" s="8">
        <v>26</v>
      </c>
      <c r="AB29" s="9">
        <f t="shared" si="14"/>
        <v>1.388E-2</v>
      </c>
      <c r="AC29" s="21">
        <f t="shared" si="15"/>
        <v>2.1875</v>
      </c>
      <c r="AD29" s="21">
        <f t="shared" si="16"/>
        <v>1.5286131860462517</v>
      </c>
      <c r="AE29" s="36">
        <f t="shared" si="17"/>
        <v>7.2166251452535019E-3</v>
      </c>
      <c r="AF29" s="29">
        <f t="shared" si="18"/>
        <v>0.18763225377659104</v>
      </c>
      <c r="AG29" s="23">
        <f t="shared" si="19"/>
        <v>1.6604161103425328</v>
      </c>
      <c r="AH29" s="8"/>
      <c r="AI29" s="23">
        <f t="shared" si="20"/>
        <v>1073.0864566044688</v>
      </c>
    </row>
    <row r="30" spans="5:35" x14ac:dyDescent="0.25">
      <c r="E30" s="8">
        <v>27</v>
      </c>
      <c r="F30" s="9">
        <f t="shared" si="0"/>
        <v>2.6380000000000001E-2</v>
      </c>
      <c r="G30" s="21">
        <f t="shared" si="1"/>
        <v>2.1875</v>
      </c>
      <c r="H30" s="21">
        <f t="shared" si="2"/>
        <v>1.0829968164329404</v>
      </c>
      <c r="I30" s="36">
        <f t="shared" si="3"/>
        <v>1.2519753111724609E-2</v>
      </c>
      <c r="J30" s="29">
        <f t="shared" si="4"/>
        <v>0.33803333401656444</v>
      </c>
      <c r="K30" s="23">
        <f t="shared" si="5"/>
        <v>1.2335821713394231</v>
      </c>
      <c r="L30" s="8"/>
      <c r="M30" s="23">
        <f t="shared" si="6"/>
        <v>818.74559322330299</v>
      </c>
      <c r="P30" s="8">
        <v>27</v>
      </c>
      <c r="Q30" s="9">
        <f t="shared" si="7"/>
        <v>3.8879999999999998E-2</v>
      </c>
      <c r="R30" s="21">
        <f t="shared" si="8"/>
        <v>2.1875</v>
      </c>
      <c r="S30" s="21">
        <f t="shared" si="9"/>
        <v>0.78105686229458371</v>
      </c>
      <c r="T30" s="36">
        <f t="shared" si="10"/>
        <v>1.4457094874845828E-2</v>
      </c>
      <c r="U30" s="29">
        <f t="shared" si="11"/>
        <v>0.39034156162083733</v>
      </c>
      <c r="V30" s="23"/>
      <c r="W30" s="8"/>
      <c r="X30" s="23">
        <f t="shared" si="13"/>
        <v>590.47898789470526</v>
      </c>
      <c r="AA30" s="8">
        <v>27</v>
      </c>
      <c r="AB30" s="9">
        <f t="shared" si="14"/>
        <v>1.388E-2</v>
      </c>
      <c r="AC30" s="21">
        <f t="shared" si="15"/>
        <v>2.1875</v>
      </c>
      <c r="AD30" s="21">
        <f t="shared" si="16"/>
        <v>1.5076864974614865</v>
      </c>
      <c r="AE30" s="36">
        <f t="shared" si="17"/>
        <v>7.1178296694416531E-3</v>
      </c>
      <c r="AF30" s="29">
        <f t="shared" si="18"/>
        <v>0.19218140107492462</v>
      </c>
      <c r="AG30" s="23">
        <f t="shared" si="19"/>
        <v>1.6152651615182532</v>
      </c>
      <c r="AH30" s="8"/>
      <c r="AI30" s="23">
        <f t="shared" si="20"/>
        <v>1139.8109920808838</v>
      </c>
    </row>
    <row r="31" spans="5:35" x14ac:dyDescent="0.25">
      <c r="E31" s="8">
        <v>28</v>
      </c>
      <c r="F31" s="9">
        <f t="shared" si="0"/>
        <v>2.6380000000000001E-2</v>
      </c>
      <c r="G31" s="21">
        <f t="shared" si="1"/>
        <v>2.1875</v>
      </c>
      <c r="H31" s="21">
        <f t="shared" si="2"/>
        <v>1.0551616520518132</v>
      </c>
      <c r="I31" s="36">
        <f t="shared" si="3"/>
        <v>1.2197970646080988E-2</v>
      </c>
      <c r="J31" s="29">
        <f t="shared" si="4"/>
        <v>0.34154317809026769</v>
      </c>
      <c r="K31" s="23">
        <f t="shared" si="5"/>
        <v>1.1709860528448166</v>
      </c>
      <c r="L31" s="8"/>
      <c r="M31" s="23">
        <f t="shared" si="6"/>
        <v>856.79126146607234</v>
      </c>
      <c r="P31" s="8">
        <v>28</v>
      </c>
      <c r="Q31" s="9">
        <f t="shared" si="7"/>
        <v>3.8879999999999998E-2</v>
      </c>
      <c r="R31" s="21">
        <f t="shared" si="8"/>
        <v>2.1875</v>
      </c>
      <c r="S31" s="21">
        <f t="shared" si="9"/>
        <v>0.75182587237658205</v>
      </c>
      <c r="T31" s="36">
        <f t="shared" si="10"/>
        <v>1.3916039268102018E-2</v>
      </c>
      <c r="U31" s="29">
        <f t="shared" si="11"/>
        <v>0.3896490995068565</v>
      </c>
      <c r="V31" s="23"/>
      <c r="W31" s="8"/>
      <c r="X31" s="23">
        <f t="shared" si="13"/>
        <v>610.48260836978466</v>
      </c>
      <c r="AA31" s="8">
        <v>28</v>
      </c>
      <c r="AB31" s="9">
        <f t="shared" si="14"/>
        <v>1.388E-2</v>
      </c>
      <c r="AC31" s="21">
        <f t="shared" si="15"/>
        <v>2.1875</v>
      </c>
      <c r="AD31" s="21">
        <f t="shared" si="16"/>
        <v>1.4870462948884351</v>
      </c>
      <c r="AE31" s="36">
        <f t="shared" si="17"/>
        <v>7.020386702017648E-3</v>
      </c>
      <c r="AF31" s="29">
        <f t="shared" si="18"/>
        <v>0.19657082765649414</v>
      </c>
      <c r="AG31" s="23">
        <f t="shared" si="19"/>
        <v>1.5713419821470851</v>
      </c>
      <c r="AH31" s="8"/>
      <c r="AI31" s="23">
        <f t="shared" si="20"/>
        <v>1207.4815914494093</v>
      </c>
    </row>
    <row r="32" spans="5:35" x14ac:dyDescent="0.25">
      <c r="E32" s="8">
        <v>29</v>
      </c>
      <c r="F32" s="9">
        <f t="shared" si="0"/>
        <v>2.6380000000000001E-2</v>
      </c>
      <c r="G32" s="21">
        <f t="shared" si="1"/>
        <v>2.1875</v>
      </c>
      <c r="H32" s="21">
        <f t="shared" si="2"/>
        <v>1.0280419065568438</v>
      </c>
      <c r="I32" s="36">
        <f t="shared" si="3"/>
        <v>1.1884458627487859E-2</v>
      </c>
      <c r="J32" s="29">
        <f t="shared" si="4"/>
        <v>0.3446493001971479</v>
      </c>
      <c r="K32" s="23">
        <f t="shared" si="5"/>
        <v>1.1115662724504414</v>
      </c>
      <c r="L32" s="8"/>
      <c r="M32" s="23">
        <f t="shared" si="6"/>
        <v>894.39645870445406</v>
      </c>
      <c r="P32" s="8">
        <v>29</v>
      </c>
      <c r="Q32" s="9">
        <f t="shared" si="7"/>
        <v>3.8879999999999998E-2</v>
      </c>
      <c r="R32" s="21">
        <f t="shared" si="8"/>
        <v>2.1875</v>
      </c>
      <c r="S32" s="21">
        <f t="shared" si="9"/>
        <v>0.72368884989275195</v>
      </c>
      <c r="T32" s="36">
        <f t="shared" si="10"/>
        <v>1.3395232623692842E-2</v>
      </c>
      <c r="U32" s="29">
        <f t="shared" si="11"/>
        <v>0.38846174608709244</v>
      </c>
      <c r="V32" s="23"/>
      <c r="W32" s="8"/>
      <c r="X32" s="23">
        <f t="shared" si="13"/>
        <v>629.60929940669416</v>
      </c>
      <c r="AA32" s="8">
        <v>29</v>
      </c>
      <c r="AB32" s="9">
        <f t="shared" si="14"/>
        <v>1.388E-2</v>
      </c>
      <c r="AC32" s="21">
        <f t="shared" si="15"/>
        <v>2.1875</v>
      </c>
      <c r="AD32" s="21">
        <f t="shared" si="16"/>
        <v>1.4666886563384576</v>
      </c>
      <c r="AE32" s="36">
        <f t="shared" si="17"/>
        <v>6.924277727164605E-3</v>
      </c>
      <c r="AF32" s="29">
        <f t="shared" si="18"/>
        <v>0.20080405408777355</v>
      </c>
      <c r="AG32" s="23">
        <f t="shared" si="19"/>
        <v>1.5286131860462517</v>
      </c>
      <c r="AH32" s="8"/>
      <c r="AI32" s="23">
        <f t="shared" si="20"/>
        <v>1276.019131014458</v>
      </c>
    </row>
    <row r="33" spans="5:35" x14ac:dyDescent="0.25">
      <c r="E33" s="8">
        <v>30</v>
      </c>
      <c r="F33" s="9">
        <f t="shared" si="0"/>
        <v>2.6380000000000001E-2</v>
      </c>
      <c r="G33" s="21">
        <f t="shared" si="1"/>
        <v>2.1875</v>
      </c>
      <c r="H33" s="21">
        <f t="shared" si="2"/>
        <v>1.0016191922648956</v>
      </c>
      <c r="I33" s="36">
        <f t="shared" si="3"/>
        <v>1.1579004489066288E-2</v>
      </c>
      <c r="J33" s="29">
        <f t="shared" si="4"/>
        <v>0.34737013467198863</v>
      </c>
      <c r="K33" s="23">
        <f t="shared" si="5"/>
        <v>1.0551616520518132</v>
      </c>
      <c r="L33" s="8"/>
      <c r="M33" s="23">
        <f t="shared" si="6"/>
        <v>931.5058488063529</v>
      </c>
      <c r="P33" s="8">
        <v>30</v>
      </c>
      <c r="Q33" s="9">
        <f t="shared" si="7"/>
        <v>3.8879999999999998E-2</v>
      </c>
      <c r="R33" s="21">
        <f t="shared" si="8"/>
        <v>2.1875</v>
      </c>
      <c r="S33" s="21">
        <f t="shared" si="9"/>
        <v>0.69660485320032328</v>
      </c>
      <c r="T33" s="36">
        <f t="shared" si="10"/>
        <v>1.2893917125840175E-2</v>
      </c>
      <c r="U33" s="29">
        <f t="shared" si="11"/>
        <v>0.38681751377520524</v>
      </c>
      <c r="V33" s="23"/>
      <c r="W33" s="8"/>
      <c r="X33" s="23">
        <f t="shared" si="13"/>
        <v>647.84251347630061</v>
      </c>
      <c r="AA33" s="8">
        <v>30</v>
      </c>
      <c r="AB33" s="9">
        <f t="shared" si="14"/>
        <v>1.388E-2</v>
      </c>
      <c r="AC33" s="21">
        <f t="shared" si="15"/>
        <v>2.1875</v>
      </c>
      <c r="AD33" s="21">
        <f t="shared" si="16"/>
        <v>1.446609713514871</v>
      </c>
      <c r="AE33" s="36">
        <f t="shared" si="17"/>
        <v>6.8294844825468534E-3</v>
      </c>
      <c r="AF33" s="29">
        <f t="shared" si="18"/>
        <v>0.20488453447640559</v>
      </c>
      <c r="AG33" s="23">
        <f t="shared" si="19"/>
        <v>1.4870462948884349</v>
      </c>
      <c r="AH33" s="8"/>
      <c r="AI33" s="23">
        <f t="shared" si="20"/>
        <v>1345.3470335688301</v>
      </c>
    </row>
    <row r="34" spans="5:35" x14ac:dyDescent="0.25">
      <c r="E34" s="8">
        <v>31</v>
      </c>
      <c r="F34" s="9">
        <f t="shared" si="0"/>
        <v>2.6380000000000001E-2</v>
      </c>
      <c r="G34" s="21">
        <f t="shared" si="1"/>
        <v>2.1875</v>
      </c>
      <c r="H34" s="21">
        <f t="shared" si="2"/>
        <v>0.97587559409272928</v>
      </c>
      <c r="I34" s="36">
        <f t="shared" si="3"/>
        <v>1.128140112732739E-2</v>
      </c>
      <c r="J34" s="29">
        <f t="shared" si="4"/>
        <v>0.34972343494714908</v>
      </c>
      <c r="K34" s="23">
        <f t="shared" si="5"/>
        <v>1.0016191922648956</v>
      </c>
      <c r="L34" s="8"/>
      <c r="M34" s="23">
        <f t="shared" si="6"/>
        <v>968.0685893399874</v>
      </c>
      <c r="P34" s="8">
        <v>31</v>
      </c>
      <c r="Q34" s="9">
        <f t="shared" si="7"/>
        <v>4.138E-2</v>
      </c>
      <c r="R34" s="21">
        <f t="shared" si="8"/>
        <v>2.1875</v>
      </c>
      <c r="S34" s="21">
        <f t="shared" si="9"/>
        <v>0.62238891474904667</v>
      </c>
      <c r="T34" s="36">
        <f t="shared" si="10"/>
        <v>1.1520205536822535E-2</v>
      </c>
      <c r="U34" s="29">
        <f t="shared" si="11"/>
        <v>0.35712637164149857</v>
      </c>
      <c r="V34" s="23"/>
      <c r="W34" s="8"/>
      <c r="X34" s="23">
        <f t="shared" si="13"/>
        <v>617.40980343105434</v>
      </c>
      <c r="AA34" s="8">
        <v>31</v>
      </c>
      <c r="AB34" s="9">
        <f t="shared" si="14"/>
        <v>1.1380000000000001E-2</v>
      </c>
      <c r="AC34" s="21">
        <f t="shared" si="15"/>
        <v>2.1875</v>
      </c>
      <c r="AD34" s="21">
        <f t="shared" si="16"/>
        <v>1.5402913046511157</v>
      </c>
      <c r="AE34" s="36">
        <f t="shared" si="17"/>
        <v>7.2717578662992331E-3</v>
      </c>
      <c r="AF34" s="29">
        <f t="shared" si="18"/>
        <v>0.22542449385527621</v>
      </c>
      <c r="AG34" s="23">
        <f t="shared" si="19"/>
        <v>1.5578198196980453</v>
      </c>
      <c r="AH34" s="8"/>
      <c r="AI34" s="23">
        <f t="shared" si="20"/>
        <v>1527.9689742139069</v>
      </c>
    </row>
    <row r="35" spans="5:35" x14ac:dyDescent="0.25">
      <c r="E35" s="44">
        <v>32</v>
      </c>
      <c r="F35" s="51">
        <f t="shared" si="0"/>
        <v>2.6380000000000001E-2</v>
      </c>
      <c r="G35" s="54">
        <f t="shared" si="1"/>
        <v>2.1875</v>
      </c>
      <c r="H35" s="54">
        <f t="shared" si="2"/>
        <v>0.9507936574102468</v>
      </c>
      <c r="I35" s="45">
        <f t="shared" si="3"/>
        <v>1.0991446761752361E-2</v>
      </c>
      <c r="J35" s="46">
        <f t="shared" si="4"/>
        <v>0.35172629637607555</v>
      </c>
      <c r="K35" s="50">
        <f t="shared" si="5"/>
        <v>0.9507936574102468</v>
      </c>
      <c r="L35" s="50">
        <f>SUM(K4:K35)</f>
        <v>76.362160912379593</v>
      </c>
      <c r="M35" s="50">
        <f t="shared" si="6"/>
        <v>1004.0381022252207</v>
      </c>
      <c r="P35" s="8">
        <v>32</v>
      </c>
      <c r="Q35" s="9">
        <f t="shared" si="7"/>
        <v>4.138E-2</v>
      </c>
      <c r="R35" s="21">
        <f t="shared" si="8"/>
        <v>2.1875</v>
      </c>
      <c r="S35" s="21">
        <f t="shared" si="9"/>
        <v>0.59765783359489022</v>
      </c>
      <c r="T35" s="36">
        <f t="shared" si="10"/>
        <v>1.1062441699305283E-2</v>
      </c>
      <c r="U35" s="29">
        <f t="shared" si="11"/>
        <v>0.35399813437776906</v>
      </c>
      <c r="V35" s="23"/>
      <c r="W35" s="8"/>
      <c r="X35" s="23">
        <f t="shared" si="13"/>
        <v>631.12667227620409</v>
      </c>
      <c r="AA35" s="8">
        <v>32</v>
      </c>
      <c r="AB35" s="9">
        <f t="shared" si="14"/>
        <v>1.1380000000000001E-2</v>
      </c>
      <c r="AC35" s="21">
        <f t="shared" si="15"/>
        <v>2.1875</v>
      </c>
      <c r="AD35" s="21">
        <f t="shared" si="16"/>
        <v>1.5229600196277517</v>
      </c>
      <c r="AE35" s="36">
        <f t="shared" si="17"/>
        <v>7.1899363901789951E-3</v>
      </c>
      <c r="AF35" s="29">
        <f t="shared" si="18"/>
        <v>0.23007796448572784</v>
      </c>
      <c r="AG35" s="23">
        <f t="shared" si="19"/>
        <v>1.5229600196277517</v>
      </c>
      <c r="AH35" s="8"/>
      <c r="AI35" s="23">
        <f t="shared" si="20"/>
        <v>1608.2457807269059</v>
      </c>
    </row>
    <row r="36" spans="5:35" x14ac:dyDescent="0.25">
      <c r="E36" s="8">
        <v>33</v>
      </c>
      <c r="F36" s="9">
        <f t="shared" si="0"/>
        <v>2.6380000000000001E-2</v>
      </c>
      <c r="G36" s="21">
        <f t="shared" si="1"/>
        <v>2.1875</v>
      </c>
      <c r="H36" s="21">
        <f t="shared" si="2"/>
        <v>0.92635637620593436</v>
      </c>
      <c r="I36" s="36">
        <f t="shared" si="3"/>
        <v>1.0708944797981608E-2</v>
      </c>
      <c r="J36" s="29">
        <f t="shared" si="4"/>
        <v>0.35339517833339307</v>
      </c>
      <c r="K36" s="8"/>
      <c r="L36" s="8"/>
      <c r="M36" s="23">
        <f t="shared" si="6"/>
        <v>1039.3718541030585</v>
      </c>
      <c r="P36" s="8">
        <v>33</v>
      </c>
      <c r="Q36" s="9">
        <f t="shared" si="7"/>
        <v>4.138E-2</v>
      </c>
      <c r="R36" s="21">
        <f t="shared" si="8"/>
        <v>2.1875</v>
      </c>
      <c r="S36" s="21">
        <f t="shared" si="9"/>
        <v>0.57390946013452371</v>
      </c>
      <c r="T36" s="36">
        <f t="shared" si="10"/>
        <v>1.0622867444453787E-2</v>
      </c>
      <c r="U36" s="29">
        <f t="shared" si="11"/>
        <v>0.35055462566697498</v>
      </c>
      <c r="V36" s="8"/>
      <c r="W36" s="8"/>
      <c r="X36" s="23">
        <f t="shared" si="13"/>
        <v>643.92641427093565</v>
      </c>
      <c r="AA36" s="8">
        <v>33</v>
      </c>
      <c r="AB36" s="9">
        <f t="shared" si="14"/>
        <v>1.1380000000000001E-2</v>
      </c>
      <c r="AC36" s="21">
        <f t="shared" si="15"/>
        <v>2.1875</v>
      </c>
      <c r="AD36" s="21">
        <f t="shared" si="16"/>
        <v>1.5058237454050425</v>
      </c>
      <c r="AE36" s="36">
        <f t="shared" si="17"/>
        <v>7.1090355654442406E-3</v>
      </c>
      <c r="AF36" s="29">
        <f t="shared" si="18"/>
        <v>0.23459817365965993</v>
      </c>
      <c r="AG36" s="23">
        <f t="shared" si="19"/>
        <v>1.4888802877306675</v>
      </c>
      <c r="AH36" s="8"/>
      <c r="AI36" s="23">
        <f t="shared" si="20"/>
        <v>1689.5342423444577</v>
      </c>
    </row>
    <row r="37" spans="5:35" x14ac:dyDescent="0.25">
      <c r="E37" s="8">
        <v>34</v>
      </c>
      <c r="F37" s="9">
        <f t="shared" si="0"/>
        <v>2.6380000000000001E-2</v>
      </c>
      <c r="G37" s="21">
        <f t="shared" si="1"/>
        <v>2.1875</v>
      </c>
      <c r="H37" s="21">
        <f t="shared" si="2"/>
        <v>0.9025471815564744</v>
      </c>
      <c r="I37" s="36">
        <f t="shared" si="3"/>
        <v>1.0433703694520164E-2</v>
      </c>
      <c r="J37" s="29">
        <f t="shared" si="4"/>
        <v>0.35474592561368556</v>
      </c>
      <c r="K37" s="8"/>
      <c r="L37" s="8"/>
      <c r="M37" s="23">
        <f t="shared" si="6"/>
        <v>1074.0311460522046</v>
      </c>
      <c r="P37" s="8">
        <v>34</v>
      </c>
      <c r="Q37" s="9">
        <f t="shared" si="7"/>
        <v>4.138E-2</v>
      </c>
      <c r="R37" s="21">
        <f t="shared" si="8"/>
        <v>2.1875</v>
      </c>
      <c r="S37" s="21">
        <f t="shared" si="9"/>
        <v>0.55110474575517454</v>
      </c>
      <c r="T37" s="36">
        <f t="shared" si="10"/>
        <v>1.0200759995826487E-2</v>
      </c>
      <c r="U37" s="29">
        <f t="shared" si="11"/>
        <v>0.34682583985810056</v>
      </c>
      <c r="V37" s="8"/>
      <c r="W37" s="8"/>
      <c r="X37" s="23">
        <f t="shared" si="13"/>
        <v>655.81464744865775</v>
      </c>
      <c r="AA37" s="8">
        <v>34</v>
      </c>
      <c r="AB37" s="9">
        <f t="shared" si="14"/>
        <v>1.1380000000000001E-2</v>
      </c>
      <c r="AC37" s="21">
        <f t="shared" si="15"/>
        <v>2.1875</v>
      </c>
      <c r="AD37" s="21">
        <f t="shared" si="16"/>
        <v>1.4888802877306675</v>
      </c>
      <c r="AE37" s="36">
        <f t="shared" si="17"/>
        <v>7.0290450329690522E-3</v>
      </c>
      <c r="AF37" s="29">
        <f t="shared" si="18"/>
        <v>0.23898753112094778</v>
      </c>
      <c r="AG37" s="23">
        <f t="shared" si="19"/>
        <v>1.4555631681879515</v>
      </c>
      <c r="AH37" s="8"/>
      <c r="AI37" s="23">
        <f t="shared" si="20"/>
        <v>1771.7675423994942</v>
      </c>
    </row>
    <row r="38" spans="5:35" x14ac:dyDescent="0.25">
      <c r="E38" s="8">
        <v>35</v>
      </c>
      <c r="F38" s="9">
        <f t="shared" si="0"/>
        <v>2.6380000000000001E-2</v>
      </c>
      <c r="G38" s="21">
        <f t="shared" si="1"/>
        <v>2.1875</v>
      </c>
      <c r="H38" s="21">
        <f t="shared" si="2"/>
        <v>0.87934993039271447</v>
      </c>
      <c r="I38" s="36">
        <f t="shared" si="3"/>
        <v>1.0165536832869077E-2</v>
      </c>
      <c r="J38" s="29">
        <f t="shared" si="4"/>
        <v>0.35579378915041771</v>
      </c>
      <c r="K38" s="8"/>
      <c r="L38" s="8"/>
      <c r="M38" s="23">
        <f t="shared" si="6"/>
        <v>1107.9809122948202</v>
      </c>
      <c r="P38" s="8">
        <v>35</v>
      </c>
      <c r="Q38" s="9">
        <f t="shared" si="7"/>
        <v>4.138E-2</v>
      </c>
      <c r="R38" s="21">
        <f t="shared" si="8"/>
        <v>2.1875</v>
      </c>
      <c r="S38" s="21">
        <f t="shared" si="9"/>
        <v>0.52920619346941034</v>
      </c>
      <c r="T38" s="36">
        <f t="shared" si="10"/>
        <v>9.7954252970351707E-3</v>
      </c>
      <c r="U38" s="29">
        <f t="shared" si="11"/>
        <v>0.342839885396231</v>
      </c>
      <c r="V38" s="8"/>
      <c r="W38" s="8"/>
      <c r="X38" s="23">
        <f t="shared" si="13"/>
        <v>666.79980377145705</v>
      </c>
      <c r="AA38" s="8">
        <v>35</v>
      </c>
      <c r="AB38" s="9">
        <f t="shared" si="14"/>
        <v>1.1380000000000001E-2</v>
      </c>
      <c r="AC38" s="21">
        <f t="shared" si="15"/>
        <v>2.1875</v>
      </c>
      <c r="AD38" s="21">
        <f t="shared" si="16"/>
        <v>1.4721274770419304</v>
      </c>
      <c r="AE38" s="36">
        <f t="shared" si="17"/>
        <v>6.9499545501879147E-3</v>
      </c>
      <c r="AF38" s="29">
        <f t="shared" si="18"/>
        <v>0.24324840925657701</v>
      </c>
      <c r="AG38" s="23">
        <f t="shared" si="19"/>
        <v>1.4229915957948425</v>
      </c>
      <c r="AH38" s="8"/>
      <c r="AI38" s="23">
        <f t="shared" si="20"/>
        <v>1854.8806210728324</v>
      </c>
    </row>
    <row r="39" spans="5:35" x14ac:dyDescent="0.25">
      <c r="E39" s="8">
        <v>36</v>
      </c>
      <c r="F39" s="9">
        <f t="shared" si="0"/>
        <v>2.6380000000000001E-2</v>
      </c>
      <c r="G39" s="21">
        <f t="shared" si="1"/>
        <v>2.1875</v>
      </c>
      <c r="H39" s="21">
        <f t="shared" si="2"/>
        <v>0.85674889455436998</v>
      </c>
      <c r="I39" s="36">
        <f t="shared" si="3"/>
        <v>9.9042623909946347E-3</v>
      </c>
      <c r="J39" s="29">
        <f t="shared" si="4"/>
        <v>0.35655344607580686</v>
      </c>
      <c r="K39" s="8"/>
      <c r="L39" s="8"/>
      <c r="M39" s="23">
        <f t="shared" si="6"/>
        <v>1141.1895275464208</v>
      </c>
      <c r="P39" s="8">
        <v>36</v>
      </c>
      <c r="Q39" s="9">
        <f t="shared" si="7"/>
        <v>4.3880000000000002E-2</v>
      </c>
      <c r="R39" s="21">
        <f t="shared" si="8"/>
        <v>2.1875</v>
      </c>
      <c r="S39" s="21">
        <f t="shared" si="9"/>
        <v>0.46615172279001155</v>
      </c>
      <c r="T39" s="36">
        <f t="shared" si="10"/>
        <v>8.6283086517537945E-3</v>
      </c>
      <c r="U39" s="29">
        <f t="shared" si="11"/>
        <v>0.31061911146313659</v>
      </c>
      <c r="V39" s="8"/>
      <c r="W39" s="8"/>
      <c r="X39" s="23">
        <f t="shared" si="13"/>
        <v>620.91409475629541</v>
      </c>
      <c r="AA39" s="8">
        <v>36</v>
      </c>
      <c r="AB39" s="9">
        <f t="shared" si="14"/>
        <v>8.879999999999999E-3</v>
      </c>
      <c r="AC39" s="21">
        <f t="shared" si="15"/>
        <v>2.1875</v>
      </c>
      <c r="AD39" s="21">
        <f t="shared" si="16"/>
        <v>1.5912030594583211</v>
      </c>
      <c r="AE39" s="36">
        <f t="shared" si="17"/>
        <v>7.512113669379125E-3</v>
      </c>
      <c r="AF39" s="29">
        <f t="shared" si="18"/>
        <v>0.27043609209764852</v>
      </c>
      <c r="AG39" s="23">
        <f t="shared" si="19"/>
        <v>1.5359163177814918</v>
      </c>
      <c r="AH39" s="8"/>
      <c r="AI39" s="23">
        <f t="shared" si="20"/>
        <v>2119.4824751984838</v>
      </c>
    </row>
    <row r="40" spans="5:35" x14ac:dyDescent="0.25">
      <c r="E40" s="8">
        <v>37</v>
      </c>
      <c r="F40" s="9">
        <f t="shared" si="0"/>
        <v>2.6380000000000001E-2</v>
      </c>
      <c r="G40" s="21">
        <f t="shared" si="1"/>
        <v>2.1875</v>
      </c>
      <c r="H40" s="21">
        <f t="shared" si="2"/>
        <v>0.83472875012604497</v>
      </c>
      <c r="I40" s="36">
        <f t="shared" si="3"/>
        <v>9.649703220049724E-3</v>
      </c>
      <c r="J40" s="29">
        <f t="shared" si="4"/>
        <v>0.35703901914183978</v>
      </c>
      <c r="K40" s="8"/>
      <c r="L40" s="8"/>
      <c r="M40" s="23">
        <f t="shared" si="6"/>
        <v>1173.6286226772193</v>
      </c>
      <c r="P40" s="8">
        <v>37</v>
      </c>
      <c r="Q40" s="9">
        <f t="shared" si="7"/>
        <v>4.3880000000000002E-2</v>
      </c>
      <c r="R40" s="21">
        <f t="shared" si="8"/>
        <v>2.1875</v>
      </c>
      <c r="S40" s="21">
        <f t="shared" si="9"/>
        <v>0.44655680996858987</v>
      </c>
      <c r="T40" s="36">
        <f t="shared" si="10"/>
        <v>8.2656135300549823E-3</v>
      </c>
      <c r="U40" s="29">
        <f t="shared" si="11"/>
        <v>0.30582770061203435</v>
      </c>
      <c r="V40" s="8"/>
      <c r="W40" s="8"/>
      <c r="X40" s="23">
        <f t="shared" si="13"/>
        <v>627.85887481583734</v>
      </c>
      <c r="AA40" s="8">
        <v>37</v>
      </c>
      <c r="AB40" s="9">
        <f t="shared" si="14"/>
        <v>8.879999999999999E-3</v>
      </c>
      <c r="AC40" s="21">
        <f t="shared" si="15"/>
        <v>2.1875</v>
      </c>
      <c r="AD40" s="21">
        <f t="shared" si="16"/>
        <v>1.577197545256444</v>
      </c>
      <c r="AE40" s="36">
        <f t="shared" si="17"/>
        <v>7.4459932493251184E-3</v>
      </c>
      <c r="AF40" s="29">
        <f t="shared" si="18"/>
        <v>0.27550175022502937</v>
      </c>
      <c r="AG40" s="23">
        <f t="shared" si="19"/>
        <v>1.5089975305441552</v>
      </c>
      <c r="AH40" s="8"/>
      <c r="AI40" s="23">
        <f t="shared" si="20"/>
        <v>2217.5397486305601</v>
      </c>
    </row>
    <row r="41" spans="5:35" x14ac:dyDescent="0.25">
      <c r="E41" s="8">
        <v>38</v>
      </c>
      <c r="F41" s="9">
        <f t="shared" si="0"/>
        <v>2.6380000000000001E-2</v>
      </c>
      <c r="G41" s="21">
        <f t="shared" si="1"/>
        <v>2.1875</v>
      </c>
      <c r="H41" s="21">
        <f t="shared" si="2"/>
        <v>0.81327456704733614</v>
      </c>
      <c r="I41" s="36">
        <f t="shared" si="3"/>
        <v>9.4016867242636484E-3</v>
      </c>
      <c r="J41" s="29">
        <f t="shared" si="4"/>
        <v>0.35726409552201865</v>
      </c>
      <c r="K41" s="8"/>
      <c r="L41" s="8"/>
      <c r="M41" s="23">
        <f t="shared" si="6"/>
        <v>1205.272908364152</v>
      </c>
      <c r="P41" s="8">
        <v>38</v>
      </c>
      <c r="Q41" s="9">
        <f t="shared" si="7"/>
        <v>4.3880000000000002E-2</v>
      </c>
      <c r="R41" s="21">
        <f t="shared" si="8"/>
        <v>2.1875</v>
      </c>
      <c r="S41" s="21">
        <f t="shared" si="9"/>
        <v>0.42778557877207141</v>
      </c>
      <c r="T41" s="36">
        <f t="shared" si="10"/>
        <v>7.918164472980594E-3</v>
      </c>
      <c r="U41" s="29">
        <f t="shared" si="11"/>
        <v>0.30089024997326258</v>
      </c>
      <c r="V41" s="8"/>
      <c r="W41" s="8"/>
      <c r="X41" s="23">
        <f t="shared" si="13"/>
        <v>633.97822774020983</v>
      </c>
      <c r="AA41" s="8">
        <v>38</v>
      </c>
      <c r="AB41" s="9">
        <f t="shared" si="14"/>
        <v>8.879999999999999E-3</v>
      </c>
      <c r="AC41" s="21">
        <f t="shared" si="15"/>
        <v>2.1875</v>
      </c>
      <c r="AD41" s="21">
        <f t="shared" si="16"/>
        <v>1.5633153053449802</v>
      </c>
      <c r="AE41" s="36">
        <f t="shared" si="17"/>
        <v>7.3804548106069269E-3</v>
      </c>
      <c r="AF41" s="29">
        <f t="shared" si="18"/>
        <v>0.2804572828030632</v>
      </c>
      <c r="AG41" s="23">
        <f t="shared" si="19"/>
        <v>1.4825505275426776</v>
      </c>
      <c r="AH41" s="8"/>
      <c r="AI41" s="23">
        <f t="shared" si="20"/>
        <v>2316.8332825212606</v>
      </c>
    </row>
    <row r="42" spans="5:35" x14ac:dyDescent="0.25">
      <c r="E42" s="8">
        <v>39</v>
      </c>
      <c r="F42" s="9">
        <f t="shared" si="0"/>
        <v>2.6380000000000001E-2</v>
      </c>
      <c r="G42" s="21">
        <f t="shared" si="1"/>
        <v>2.1875</v>
      </c>
      <c r="H42" s="21">
        <f t="shared" si="2"/>
        <v>0.79237179898998045</v>
      </c>
      <c r="I42" s="36">
        <f t="shared" si="3"/>
        <v>9.1600447439190626E-3</v>
      </c>
      <c r="J42" s="29">
        <f t="shared" si="4"/>
        <v>0.35724174501284345</v>
      </c>
      <c r="K42" s="8"/>
      <c r="L42" s="8"/>
      <c r="M42" s="23">
        <f t="shared" si="6"/>
        <v>1236.1000064243694</v>
      </c>
      <c r="P42" s="8">
        <v>39</v>
      </c>
      <c r="Q42" s="9">
        <f t="shared" si="7"/>
        <v>4.3880000000000002E-2</v>
      </c>
      <c r="R42" s="21">
        <f t="shared" si="8"/>
        <v>2.1875</v>
      </c>
      <c r="S42" s="21">
        <f t="shared" si="9"/>
        <v>0.40980340534551046</v>
      </c>
      <c r="T42" s="36">
        <f t="shared" si="10"/>
        <v>7.5853206048402079E-3</v>
      </c>
      <c r="U42" s="29">
        <f t="shared" si="11"/>
        <v>0.29582750358876808</v>
      </c>
      <c r="V42" s="8"/>
      <c r="W42" s="8"/>
      <c r="X42" s="23">
        <f t="shared" si="13"/>
        <v>639.29331233899632</v>
      </c>
      <c r="AA42" s="8">
        <v>39</v>
      </c>
      <c r="AB42" s="9">
        <f t="shared" si="14"/>
        <v>8.879999999999999E-3</v>
      </c>
      <c r="AC42" s="21">
        <f t="shared" si="15"/>
        <v>2.1875</v>
      </c>
      <c r="AD42" s="21">
        <f t="shared" si="16"/>
        <v>1.5495552546833917</v>
      </c>
      <c r="AE42" s="36">
        <f t="shared" si="17"/>
        <v>7.3154932307181505E-3</v>
      </c>
      <c r="AF42" s="29">
        <f t="shared" si="18"/>
        <v>0.28530423599800786</v>
      </c>
      <c r="AG42" s="23">
        <f t="shared" si="19"/>
        <v>1.4565670401889088</v>
      </c>
      <c r="AH42" s="8"/>
      <c r="AI42" s="23">
        <f t="shared" si="20"/>
        <v>2417.3061973060912</v>
      </c>
    </row>
    <row r="43" spans="5:35" x14ac:dyDescent="0.25">
      <c r="E43" s="8">
        <v>40</v>
      </c>
      <c r="F43" s="9">
        <f t="shared" si="0"/>
        <v>2.6380000000000001E-2</v>
      </c>
      <c r="G43" s="21">
        <f t="shared" si="1"/>
        <v>2.1875</v>
      </c>
      <c r="H43" s="21">
        <f t="shared" si="2"/>
        <v>0.77200627349517736</v>
      </c>
      <c r="I43" s="36">
        <f t="shared" si="3"/>
        <v>8.9246134413366006E-3</v>
      </c>
      <c r="J43" s="29">
        <f t="shared" si="4"/>
        <v>0.35698453765346405</v>
      </c>
      <c r="K43" s="8"/>
      <c r="L43" s="8"/>
      <c r="M43" s="23">
        <f t="shared" si="6"/>
        <v>1266.0902885320909</v>
      </c>
      <c r="P43" s="8">
        <v>40</v>
      </c>
      <c r="Q43" s="9">
        <f t="shared" si="7"/>
        <v>4.3880000000000002E-2</v>
      </c>
      <c r="R43" s="21">
        <f t="shared" si="8"/>
        <v>2.1875</v>
      </c>
      <c r="S43" s="21">
        <f t="shared" si="9"/>
        <v>0.3925771212644274</v>
      </c>
      <c r="T43" s="36">
        <f t="shared" si="10"/>
        <v>7.2664679894625895E-3</v>
      </c>
      <c r="U43" s="29">
        <f t="shared" si="11"/>
        <v>0.29065871957850359</v>
      </c>
      <c r="V43" s="8"/>
      <c r="W43" s="8"/>
      <c r="X43" s="23">
        <f t="shared" si="13"/>
        <v>643.8264788736609</v>
      </c>
      <c r="AA43" s="8">
        <v>40</v>
      </c>
      <c r="AB43" s="9">
        <f t="shared" si="14"/>
        <v>8.879999999999999E-3</v>
      </c>
      <c r="AC43" s="21">
        <f t="shared" si="15"/>
        <v>2.1875</v>
      </c>
      <c r="AD43" s="21">
        <f t="shared" si="16"/>
        <v>1.5359163177814921</v>
      </c>
      <c r="AE43" s="36">
        <f t="shared" si="17"/>
        <v>7.2511034322398603E-3</v>
      </c>
      <c r="AF43" s="29">
        <f t="shared" si="18"/>
        <v>0.29004413728959444</v>
      </c>
      <c r="AG43" s="23">
        <f t="shared" si="19"/>
        <v>1.4310389448116834</v>
      </c>
      <c r="AH43" s="8"/>
      <c r="AI43" s="23">
        <f t="shared" si="20"/>
        <v>2518.902761161647</v>
      </c>
    </row>
    <row r="44" spans="5:35" x14ac:dyDescent="0.25">
      <c r="E44" s="8">
        <v>41</v>
      </c>
      <c r="F44" s="9">
        <f t="shared" si="0"/>
        <v>2.6380000000000001E-2</v>
      </c>
      <c r="G44" s="21">
        <f t="shared" si="1"/>
        <v>2.1875</v>
      </c>
      <c r="H44" s="21">
        <f t="shared" si="2"/>
        <v>0.75216418236440441</v>
      </c>
      <c r="I44" s="36">
        <f t="shared" si="3"/>
        <v>8.6952331897899408E-3</v>
      </c>
      <c r="J44" s="29">
        <f t="shared" si="4"/>
        <v>0.35650456078138759</v>
      </c>
      <c r="K44" s="8"/>
      <c r="L44" s="8"/>
      <c r="M44" s="23">
        <f t="shared" si="6"/>
        <v>1295.2267220315043</v>
      </c>
      <c r="P44" s="8">
        <v>41</v>
      </c>
      <c r="Q44" s="9">
        <f t="shared" si="7"/>
        <v>4.6380000000000005E-2</v>
      </c>
      <c r="R44" s="21">
        <f t="shared" si="8"/>
        <v>2.1875</v>
      </c>
      <c r="S44" s="21">
        <f t="shared" si="9"/>
        <v>0.34094272261759612</v>
      </c>
      <c r="T44" s="36">
        <f t="shared" si="10"/>
        <v>6.3107329641664328E-3</v>
      </c>
      <c r="U44" s="29">
        <f t="shared" si="11"/>
        <v>0.25874005153082374</v>
      </c>
      <c r="V44" s="8"/>
      <c r="W44" s="8"/>
      <c r="X44" s="23">
        <f t="shared" si="13"/>
        <v>587.10336834750046</v>
      </c>
      <c r="AA44" s="8">
        <v>41</v>
      </c>
      <c r="AB44" s="9">
        <f t="shared" si="14"/>
        <v>6.3800000000000003E-3</v>
      </c>
      <c r="AC44" s="21">
        <f t="shared" si="15"/>
        <v>2.1875</v>
      </c>
      <c r="AD44" s="21">
        <f t="shared" si="16"/>
        <v>1.6854123419557998</v>
      </c>
      <c r="AE44" s="36">
        <f t="shared" si="17"/>
        <v>7.956878298648145E-3</v>
      </c>
      <c r="AF44" s="29">
        <f t="shared" si="18"/>
        <v>0.32623201024457393</v>
      </c>
      <c r="AG44" s="23">
        <f t="shared" si="19"/>
        <v>1.5916522722650059</v>
      </c>
      <c r="AH44" s="8"/>
      <c r="AI44" s="23">
        <f t="shared" si="20"/>
        <v>2902.2800528478874</v>
      </c>
    </row>
    <row r="45" spans="5:35" x14ac:dyDescent="0.25">
      <c r="E45" s="8">
        <v>42</v>
      </c>
      <c r="F45" s="9">
        <f t="shared" si="0"/>
        <v>2.6380000000000001E-2</v>
      </c>
      <c r="G45" s="21">
        <f t="shared" si="1"/>
        <v>2.1875</v>
      </c>
      <c r="H45" s="21">
        <f t="shared" si="2"/>
        <v>0.73283207229720382</v>
      </c>
      <c r="I45" s="36">
        <f t="shared" si="3"/>
        <v>8.4717484652759578E-3</v>
      </c>
      <c r="J45" s="29">
        <f t="shared" si="4"/>
        <v>0.35581343554159023</v>
      </c>
      <c r="K45" s="8"/>
      <c r="L45" s="8"/>
      <c r="M45" s="23">
        <f t="shared" si="6"/>
        <v>1323.4947225687501</v>
      </c>
      <c r="P45" s="8">
        <v>42</v>
      </c>
      <c r="Q45" s="9">
        <f t="shared" si="7"/>
        <v>4.6380000000000005E-2</v>
      </c>
      <c r="R45" s="21">
        <f t="shared" si="8"/>
        <v>2.1875</v>
      </c>
      <c r="S45" s="21">
        <f t="shared" si="9"/>
        <v>0.32583069498422762</v>
      </c>
      <c r="T45" s="36">
        <f t="shared" si="10"/>
        <v>6.0310145111397697E-3</v>
      </c>
      <c r="U45" s="29">
        <f t="shared" si="11"/>
        <v>0.25330260946787031</v>
      </c>
      <c r="V45" s="8"/>
      <c r="W45" s="8"/>
      <c r="X45" s="23">
        <f t="shared" si="13"/>
        <v>588.45023514151512</v>
      </c>
      <c r="AA45" s="8">
        <v>42</v>
      </c>
      <c r="AB45" s="9">
        <f t="shared" si="14"/>
        <v>6.3800000000000003E-3</v>
      </c>
      <c r="AC45" s="21">
        <f t="shared" si="15"/>
        <v>2.1875</v>
      </c>
      <c r="AD45" s="21">
        <f t="shared" si="16"/>
        <v>1.6747275799954289</v>
      </c>
      <c r="AE45" s="36">
        <f t="shared" si="17"/>
        <v>7.9064352418054245E-3</v>
      </c>
      <c r="AF45" s="29">
        <f t="shared" si="18"/>
        <v>0.33207028015582785</v>
      </c>
      <c r="AG45" s="23">
        <f t="shared" si="19"/>
        <v>1.5715355107379463</v>
      </c>
      <c r="AH45" s="8"/>
      <c r="AI45" s="23">
        <f t="shared" si="20"/>
        <v>3024.5580094717448</v>
      </c>
    </row>
    <row r="46" spans="5:35" x14ac:dyDescent="0.25">
      <c r="E46" s="8">
        <v>43</v>
      </c>
      <c r="F46" s="9">
        <f t="shared" si="0"/>
        <v>2.6380000000000001E-2</v>
      </c>
      <c r="G46" s="21">
        <f t="shared" si="1"/>
        <v>2.1875</v>
      </c>
      <c r="H46" s="21">
        <f t="shared" si="2"/>
        <v>0.71399683576960182</v>
      </c>
      <c r="I46" s="36">
        <f t="shared" si="3"/>
        <v>8.254007741066622E-3</v>
      </c>
      <c r="J46" s="29">
        <f t="shared" si="4"/>
        <v>0.35492233286586472</v>
      </c>
      <c r="K46" s="8"/>
      <c r="L46" s="8"/>
      <c r="M46" s="23">
        <f t="shared" si="6"/>
        <v>1350.8820132760866</v>
      </c>
      <c r="P46" s="8">
        <v>43</v>
      </c>
      <c r="Q46" s="9">
        <f t="shared" si="7"/>
        <v>4.6380000000000005E-2</v>
      </c>
      <c r="R46" s="21">
        <f t="shared" si="8"/>
        <v>2.1875</v>
      </c>
      <c r="S46" s="21">
        <f t="shared" si="9"/>
        <v>0.31138849651582368</v>
      </c>
      <c r="T46" s="36">
        <f t="shared" si="10"/>
        <v>5.7636943664249787E-3</v>
      </c>
      <c r="U46" s="29">
        <f t="shared" si="11"/>
        <v>0.24783885775627409</v>
      </c>
      <c r="V46" s="8"/>
      <c r="W46" s="8"/>
      <c r="X46" s="23">
        <f t="shared" si="13"/>
        <v>589.14703540793835</v>
      </c>
      <c r="AA46" s="8">
        <v>43</v>
      </c>
      <c r="AB46" s="9">
        <f t="shared" si="14"/>
        <v>6.3800000000000003E-3</v>
      </c>
      <c r="AC46" s="21">
        <f t="shared" si="15"/>
        <v>2.1875</v>
      </c>
      <c r="AD46" s="21">
        <f t="shared" si="16"/>
        <v>1.6641105546567188</v>
      </c>
      <c r="AE46" s="36">
        <f t="shared" si="17"/>
        <v>7.8563119714277155E-3</v>
      </c>
      <c r="AF46" s="29">
        <f t="shared" si="18"/>
        <v>0.33782141477139177</v>
      </c>
      <c r="AG46" s="23">
        <f t="shared" si="19"/>
        <v>1.5516730032972772</v>
      </c>
      <c r="AH46" s="8"/>
      <c r="AI46" s="23">
        <f t="shared" si="20"/>
        <v>3148.497169410512</v>
      </c>
    </row>
    <row r="47" spans="5:35" x14ac:dyDescent="0.25">
      <c r="E47" s="8">
        <v>44</v>
      </c>
      <c r="F47" s="9">
        <f t="shared" si="0"/>
        <v>2.6380000000000001E-2</v>
      </c>
      <c r="G47" s="21">
        <f t="shared" si="1"/>
        <v>2.1875</v>
      </c>
      <c r="H47" s="21">
        <f t="shared" si="2"/>
        <v>0.69564570214696486</v>
      </c>
      <c r="I47" s="36">
        <f t="shared" si="3"/>
        <v>8.0418633849710843E-3</v>
      </c>
      <c r="J47" s="29">
        <f t="shared" si="4"/>
        <v>0.3538419889387277</v>
      </c>
      <c r="K47" s="8"/>
      <c r="L47" s="8"/>
      <c r="M47" s="23">
        <f t="shared" si="6"/>
        <v>1377.3784902509904</v>
      </c>
      <c r="P47" s="8">
        <v>44</v>
      </c>
      <c r="Q47" s="9">
        <f t="shared" si="7"/>
        <v>4.6380000000000005E-2</v>
      </c>
      <c r="R47" s="21">
        <f t="shared" si="8"/>
        <v>2.1875</v>
      </c>
      <c r="S47" s="21">
        <f t="shared" si="9"/>
        <v>0.29758643754259795</v>
      </c>
      <c r="T47" s="36">
        <f t="shared" si="10"/>
        <v>5.5082229844081289E-3</v>
      </c>
      <c r="U47" s="29">
        <f t="shared" si="11"/>
        <v>0.24236181131395768</v>
      </c>
      <c r="V47" s="8"/>
      <c r="W47" s="8"/>
      <c r="X47" s="23">
        <f t="shared" si="13"/>
        <v>589.22114633434398</v>
      </c>
      <c r="AA47" s="44">
        <v>44</v>
      </c>
      <c r="AB47" s="51">
        <f t="shared" si="14"/>
        <v>6.3800000000000003E-3</v>
      </c>
      <c r="AC47" s="54">
        <f t="shared" si="15"/>
        <v>2.1875</v>
      </c>
      <c r="AD47" s="54">
        <f t="shared" si="16"/>
        <v>1.6535608365197232</v>
      </c>
      <c r="AE47" s="45">
        <f t="shared" si="17"/>
        <v>7.8065064602115663E-3</v>
      </c>
      <c r="AF47" s="46">
        <f t="shared" si="18"/>
        <v>0.34348628424930894</v>
      </c>
      <c r="AG47" s="50">
        <f t="shared" si="19"/>
        <v>1.5320615364466146</v>
      </c>
      <c r="AH47" s="44"/>
      <c r="AI47" s="50">
        <f t="shared" si="20"/>
        <v>3274.0504563090517</v>
      </c>
    </row>
    <row r="48" spans="5:35" x14ac:dyDescent="0.25">
      <c r="E48" s="8">
        <v>45</v>
      </c>
      <c r="F48" s="9">
        <f t="shared" si="0"/>
        <v>2.6380000000000001E-2</v>
      </c>
      <c r="G48" s="21">
        <f t="shared" si="1"/>
        <v>2.1875</v>
      </c>
      <c r="H48" s="21">
        <f t="shared" si="2"/>
        <v>0.67776622902527794</v>
      </c>
      <c r="I48" s="36">
        <f t="shared" si="3"/>
        <v>7.8351715592383745E-3</v>
      </c>
      <c r="J48" s="29">
        <f t="shared" si="4"/>
        <v>0.35258272016572684</v>
      </c>
      <c r="K48" s="8"/>
      <c r="L48" s="8"/>
      <c r="M48" s="23">
        <f t="shared" si="6"/>
        <v>1402.9760940823253</v>
      </c>
      <c r="P48" s="8">
        <v>45</v>
      </c>
      <c r="Q48" s="9">
        <f t="shared" si="7"/>
        <v>4.6380000000000005E-2</v>
      </c>
      <c r="R48" s="21">
        <f t="shared" si="8"/>
        <v>2.1875</v>
      </c>
      <c r="S48" s="21">
        <f t="shared" si="9"/>
        <v>0.28439614436686278</v>
      </c>
      <c r="T48" s="36">
        <f t="shared" si="10"/>
        <v>5.2640751776678908E-3</v>
      </c>
      <c r="U48" s="29">
        <f t="shared" si="11"/>
        <v>0.2368833829950551</v>
      </c>
      <c r="V48" s="8"/>
      <c r="W48" s="8"/>
      <c r="X48" s="23">
        <f t="shared" si="13"/>
        <v>588.70001883940597</v>
      </c>
      <c r="AA48" s="8">
        <v>45</v>
      </c>
      <c r="AB48" s="9">
        <f t="shared" si="14"/>
        <v>6.3800000000000003E-3</v>
      </c>
      <c r="AC48" s="21">
        <f t="shared" si="15"/>
        <v>2.1875</v>
      </c>
      <c r="AD48" s="21">
        <f t="shared" si="16"/>
        <v>1.6430779988868254</v>
      </c>
      <c r="AE48" s="36">
        <f t="shared" si="17"/>
        <v>7.7570166937057251E-3</v>
      </c>
      <c r="AF48" s="29">
        <f t="shared" si="18"/>
        <v>0.34906575121675765</v>
      </c>
      <c r="AG48" s="8"/>
      <c r="AH48" s="23">
        <f>SUM(AG4:AG47)</f>
        <v>97.871222325170407</v>
      </c>
      <c r="AI48" s="23">
        <f t="shared" si="20"/>
        <v>3401.1714576957283</v>
      </c>
    </row>
    <row r="49" spans="5:35" x14ac:dyDescent="0.25">
      <c r="E49" s="8">
        <v>46</v>
      </c>
      <c r="F49" s="9">
        <f t="shared" si="0"/>
        <v>2.6380000000000001E-2</v>
      </c>
      <c r="G49" s="21">
        <f t="shared" si="1"/>
        <v>2.1875</v>
      </c>
      <c r="H49" s="21">
        <f t="shared" si="2"/>
        <v>0.66034629379496668</v>
      </c>
      <c r="I49" s="36">
        <f t="shared" si="3"/>
        <v>7.6337921230327692E-3</v>
      </c>
      <c r="J49" s="29">
        <f t="shared" si="4"/>
        <v>0.35115443765950738</v>
      </c>
      <c r="K49" s="8"/>
      <c r="L49" s="8"/>
      <c r="M49" s="23">
        <f t="shared" si="6"/>
        <v>1427.668687184718</v>
      </c>
      <c r="P49" s="8">
        <v>46</v>
      </c>
      <c r="Q49" s="9">
        <f t="shared" si="7"/>
        <v>4.888E-2</v>
      </c>
      <c r="R49" s="21">
        <f t="shared" si="8"/>
        <v>2.1875</v>
      </c>
      <c r="S49" s="21">
        <f t="shared" si="9"/>
        <v>0.24353481765508</v>
      </c>
      <c r="T49" s="36">
        <f t="shared" si="10"/>
        <v>4.5077460222606195E-3</v>
      </c>
      <c r="U49" s="29">
        <f t="shared" si="11"/>
        <v>0.20735631702398849</v>
      </c>
      <c r="V49" s="8"/>
      <c r="W49" s="8"/>
      <c r="X49" s="23">
        <f t="shared" si="13"/>
        <v>526.52227577028293</v>
      </c>
      <c r="AA49" s="8">
        <v>46</v>
      </c>
      <c r="AB49" s="9">
        <f t="shared" si="14"/>
        <v>3.8800000000000015E-3</v>
      </c>
      <c r="AC49" s="21">
        <f t="shared" si="15"/>
        <v>2.1875</v>
      </c>
      <c r="AD49" s="21">
        <f t="shared" si="16"/>
        <v>1.8305650641431179</v>
      </c>
      <c r="AE49" s="36">
        <f t="shared" si="17"/>
        <v>8.6421483162046342E-3</v>
      </c>
      <c r="AF49" s="29">
        <f t="shared" si="18"/>
        <v>0.39753882254541317</v>
      </c>
      <c r="AG49" s="8"/>
      <c r="AH49" s="8"/>
      <c r="AI49" s="23">
        <f t="shared" si="20"/>
        <v>3957.6816686774209</v>
      </c>
    </row>
    <row r="50" spans="5:35" x14ac:dyDescent="0.25">
      <c r="E50" s="8">
        <v>47</v>
      </c>
      <c r="F50" s="9">
        <f t="shared" si="0"/>
        <v>2.6380000000000001E-2</v>
      </c>
      <c r="G50" s="21">
        <f t="shared" si="1"/>
        <v>2.1875</v>
      </c>
      <c r="H50" s="21">
        <f t="shared" si="2"/>
        <v>0.64337408542154617</v>
      </c>
      <c r="I50" s="36">
        <f t="shared" si="3"/>
        <v>7.4375885374157406E-3</v>
      </c>
      <c r="J50" s="29">
        <f t="shared" si="4"/>
        <v>0.3495666612585398</v>
      </c>
      <c r="K50" s="8"/>
      <c r="L50" s="8"/>
      <c r="M50" s="23">
        <f t="shared" si="6"/>
        <v>1451.4519367110081</v>
      </c>
      <c r="P50" s="8">
        <v>47</v>
      </c>
      <c r="Q50" s="9">
        <f t="shared" si="7"/>
        <v>4.888E-2</v>
      </c>
      <c r="R50" s="21">
        <f t="shared" si="8"/>
        <v>2.1875</v>
      </c>
      <c r="S50" s="21">
        <f t="shared" si="9"/>
        <v>0.23218558620154833</v>
      </c>
      <c r="T50" s="36">
        <f t="shared" si="10"/>
        <v>4.2976756371182782E-3</v>
      </c>
      <c r="U50" s="29">
        <f t="shared" si="11"/>
        <v>0.20199075494455906</v>
      </c>
      <c r="V50" s="8"/>
      <c r="W50" s="8"/>
      <c r="X50" s="23">
        <f t="shared" si="13"/>
        <v>523.810682470693</v>
      </c>
      <c r="AA50" s="8">
        <v>47</v>
      </c>
      <c r="AB50" s="9">
        <f t="shared" si="14"/>
        <v>3.8800000000000015E-3</v>
      </c>
      <c r="AC50" s="21">
        <f t="shared" si="15"/>
        <v>2.1875</v>
      </c>
      <c r="AD50" s="21">
        <f t="shared" si="16"/>
        <v>1.8234899232409425</v>
      </c>
      <c r="AE50" s="36">
        <f t="shared" si="17"/>
        <v>8.6087463802492631E-3</v>
      </c>
      <c r="AF50" s="29">
        <f t="shared" si="18"/>
        <v>0.40461107987171535</v>
      </c>
      <c r="AG50" s="8"/>
      <c r="AH50" s="8"/>
      <c r="AI50" s="23">
        <f t="shared" si="20"/>
        <v>4113.7932668315661</v>
      </c>
    </row>
    <row r="51" spans="5:35" x14ac:dyDescent="0.25">
      <c r="E51" s="8">
        <v>48</v>
      </c>
      <c r="F51" s="9">
        <f t="shared" si="0"/>
        <v>2.6380000000000001E-2</v>
      </c>
      <c r="G51" s="21">
        <f t="shared" si="1"/>
        <v>2.1875</v>
      </c>
      <c r="H51" s="21">
        <f t="shared" si="2"/>
        <v>0.62683809643752408</v>
      </c>
      <c r="I51" s="36">
        <f t="shared" si="3"/>
        <v>7.2464277727700647E-3</v>
      </c>
      <c r="J51" s="29">
        <f t="shared" si="4"/>
        <v>0.34782853309296313</v>
      </c>
      <c r="K51" s="8"/>
      <c r="L51" s="8"/>
      <c r="M51" s="23">
        <f t="shared" si="6"/>
        <v>1474.3232028210566</v>
      </c>
      <c r="P51" s="8">
        <v>48</v>
      </c>
      <c r="Q51" s="9">
        <f t="shared" si="7"/>
        <v>4.888E-2</v>
      </c>
      <c r="R51" s="21">
        <f t="shared" si="8"/>
        <v>2.1875</v>
      </c>
      <c r="S51" s="21">
        <f t="shared" si="9"/>
        <v>0.22136525265192239</v>
      </c>
      <c r="T51" s="36">
        <f t="shared" si="10"/>
        <v>4.097394970938791E-3</v>
      </c>
      <c r="U51" s="29">
        <f t="shared" si="11"/>
        <v>0.19667495860506196</v>
      </c>
      <c r="V51" s="8"/>
      <c r="W51" s="8"/>
      <c r="X51" s="23">
        <f t="shared" si="13"/>
        <v>520.6510742373215</v>
      </c>
      <c r="AA51" s="8">
        <v>48</v>
      </c>
      <c r="AB51" s="9">
        <f t="shared" si="14"/>
        <v>3.8800000000000015E-3</v>
      </c>
      <c r="AC51" s="21">
        <f t="shared" si="15"/>
        <v>2.1875</v>
      </c>
      <c r="AD51" s="21">
        <f t="shared" si="16"/>
        <v>1.8164421277851359</v>
      </c>
      <c r="AE51" s="36">
        <f t="shared" si="17"/>
        <v>8.5754735429027992E-3</v>
      </c>
      <c r="AF51" s="29">
        <f t="shared" si="18"/>
        <v>0.41162273005933436</v>
      </c>
      <c r="AG51" s="8"/>
      <c r="AH51" s="8"/>
      <c r="AI51" s="23">
        <f t="shared" si="20"/>
        <v>4272.2718845506397</v>
      </c>
    </row>
    <row r="52" spans="5:35" x14ac:dyDescent="0.25">
      <c r="E52" s="8">
        <v>49</v>
      </c>
      <c r="F52" s="9">
        <f t="shared" si="0"/>
        <v>2.6380000000000001E-2</v>
      </c>
      <c r="G52" s="21">
        <f t="shared" si="1"/>
        <v>2.1875</v>
      </c>
      <c r="H52" s="21">
        <f t="shared" si="2"/>
        <v>0.61072711514012745</v>
      </c>
      <c r="I52" s="36">
        <f t="shared" si="3"/>
        <v>7.0601802186033083E-3</v>
      </c>
      <c r="J52" s="29">
        <f t="shared" si="4"/>
        <v>0.34594883071156213</v>
      </c>
      <c r="K52" s="8"/>
      <c r="L52" s="8"/>
      <c r="M52" s="23">
        <f t="shared" si="6"/>
        <v>1496.2814320933123</v>
      </c>
      <c r="P52" s="8">
        <v>49</v>
      </c>
      <c r="Q52" s="9">
        <f t="shared" si="7"/>
        <v>4.888E-2</v>
      </c>
      <c r="R52" s="21">
        <f t="shared" si="8"/>
        <v>2.1875</v>
      </c>
      <c r="S52" s="21">
        <f t="shared" si="9"/>
        <v>0.21104916925856373</v>
      </c>
      <c r="T52" s="36">
        <f t="shared" si="10"/>
        <v>3.9064478023594588E-3</v>
      </c>
      <c r="U52" s="29">
        <f t="shared" si="11"/>
        <v>0.19141594231561349</v>
      </c>
      <c r="V52" s="8"/>
      <c r="W52" s="8"/>
      <c r="X52" s="23">
        <f t="shared" si="13"/>
        <v>517.07046468348119</v>
      </c>
      <c r="AA52" s="8">
        <v>49</v>
      </c>
      <c r="AB52" s="9">
        <f t="shared" si="14"/>
        <v>3.8800000000000015E-3</v>
      </c>
      <c r="AC52" s="21">
        <f t="shared" si="15"/>
        <v>2.1875</v>
      </c>
      <c r="AD52" s="21">
        <f t="shared" si="16"/>
        <v>1.8094215720854441</v>
      </c>
      <c r="AE52" s="36">
        <f t="shared" si="17"/>
        <v>8.5423293051986281E-3</v>
      </c>
      <c r="AF52" s="29">
        <f t="shared" si="18"/>
        <v>0.41857413595473275</v>
      </c>
      <c r="AG52" s="8"/>
      <c r="AH52" s="8"/>
      <c r="AI52" s="23">
        <f t="shared" si="20"/>
        <v>4433.0828516093379</v>
      </c>
    </row>
    <row r="53" spans="5:35" x14ac:dyDescent="0.25">
      <c r="E53" s="8">
        <v>50</v>
      </c>
      <c r="F53" s="9">
        <f t="shared" si="0"/>
        <v>2.6380000000000001E-2</v>
      </c>
      <c r="G53" s="21">
        <f t="shared" si="1"/>
        <v>2.1875</v>
      </c>
      <c r="H53" s="21">
        <f t="shared" si="2"/>
        <v>0.59503021798956268</v>
      </c>
      <c r="I53" s="36">
        <f t="shared" si="3"/>
        <v>6.8787195956695442E-3</v>
      </c>
      <c r="J53" s="29">
        <f t="shared" si="4"/>
        <v>0.34393597978347723</v>
      </c>
      <c r="K53" s="8"/>
      <c r="L53" s="8"/>
      <c r="M53" s="23">
        <f t="shared" si="6"/>
        <v>1517.3270558733848</v>
      </c>
      <c r="P53" s="8">
        <v>50</v>
      </c>
      <c r="Q53" s="9">
        <f t="shared" si="7"/>
        <v>4.888E-2</v>
      </c>
      <c r="R53" s="21">
        <f t="shared" si="8"/>
        <v>2.1875</v>
      </c>
      <c r="S53" s="21">
        <f t="shared" si="9"/>
        <v>0.20121383691038422</v>
      </c>
      <c r="T53" s="36">
        <f t="shared" si="10"/>
        <v>3.7243991708865269E-3</v>
      </c>
      <c r="U53" s="29">
        <f t="shared" si="11"/>
        <v>0.18621995854432635</v>
      </c>
      <c r="V53" s="8"/>
      <c r="W53" s="8"/>
      <c r="X53" s="23">
        <f t="shared" si="13"/>
        <v>513.09528412147972</v>
      </c>
      <c r="AA53" s="8">
        <v>50</v>
      </c>
      <c r="AB53" s="9">
        <f t="shared" si="14"/>
        <v>3.8800000000000015E-3</v>
      </c>
      <c r="AC53" s="21">
        <f t="shared" si="15"/>
        <v>2.1875</v>
      </c>
      <c r="AD53" s="21">
        <f t="shared" si="16"/>
        <v>1.802428150860107</v>
      </c>
      <c r="AE53" s="36">
        <f t="shared" si="17"/>
        <v>8.5093131700986445E-3</v>
      </c>
      <c r="AF53" s="29">
        <f t="shared" si="18"/>
        <v>0.42546565850493223</v>
      </c>
      <c r="AG53" s="8"/>
      <c r="AH53" s="8"/>
      <c r="AI53" s="23">
        <f t="shared" si="20"/>
        <v>4596.1917846932729</v>
      </c>
    </row>
    <row r="54" spans="5:35" x14ac:dyDescent="0.25">
      <c r="E54" s="8">
        <v>51</v>
      </c>
      <c r="F54" s="9">
        <f t="shared" si="0"/>
        <v>2.6380000000000001E-2</v>
      </c>
      <c r="G54" s="21">
        <f t="shared" si="1"/>
        <v>2.1875</v>
      </c>
      <c r="H54" s="21">
        <f t="shared" si="2"/>
        <v>0.57973676220265657</v>
      </c>
      <c r="I54" s="36">
        <f t="shared" si="3"/>
        <v>6.7019228703497184E-3</v>
      </c>
      <c r="J54" s="29">
        <f t="shared" si="4"/>
        <v>0.34179806638783566</v>
      </c>
      <c r="K54" s="8"/>
      <c r="L54" s="8"/>
      <c r="M54" s="23">
        <f t="shared" si="6"/>
        <v>1537.4618933614452</v>
      </c>
      <c r="P54" s="8">
        <v>51</v>
      </c>
      <c r="Q54" s="9">
        <f t="shared" si="7"/>
        <v>5.1380000000000002E-2</v>
      </c>
      <c r="R54" s="21">
        <f t="shared" si="8"/>
        <v>2.1875</v>
      </c>
      <c r="S54" s="21">
        <f t="shared" si="9"/>
        <v>0.16990367910121673</v>
      </c>
      <c r="T54" s="36">
        <f t="shared" si="10"/>
        <v>3.1448588789496179E-3</v>
      </c>
      <c r="U54" s="29">
        <f t="shared" si="11"/>
        <v>0.1603878028264305</v>
      </c>
      <c r="V54" s="8"/>
      <c r="W54" s="8"/>
      <c r="X54" s="23">
        <f t="shared" si="13"/>
        <v>450.58455697642677</v>
      </c>
      <c r="AA54" s="8">
        <v>51</v>
      </c>
      <c r="AB54" s="9">
        <f t="shared" si="14"/>
        <v>1.3799999999999993E-3</v>
      </c>
      <c r="AC54" s="21">
        <f t="shared" si="15"/>
        <v>2.1875</v>
      </c>
      <c r="AD54" s="21">
        <f t="shared" si="16"/>
        <v>2.0389354977166594</v>
      </c>
      <c r="AE54" s="36">
        <f t="shared" si="17"/>
        <v>9.6258708983338534E-3</v>
      </c>
      <c r="AF54" s="29">
        <f t="shared" si="18"/>
        <v>0.49091941581502652</v>
      </c>
      <c r="AG54" s="8"/>
      <c r="AH54" s="8"/>
      <c r="AI54" s="23">
        <f t="shared" si="20"/>
        <v>5407.2569399445811</v>
      </c>
    </row>
    <row r="55" spans="5:35" x14ac:dyDescent="0.25">
      <c r="E55" s="8">
        <v>52</v>
      </c>
      <c r="F55" s="9">
        <f t="shared" si="0"/>
        <v>2.6380000000000001E-2</v>
      </c>
      <c r="G55" s="21">
        <f t="shared" si="1"/>
        <v>2.1875</v>
      </c>
      <c r="H55" s="21">
        <f t="shared" si="2"/>
        <v>0.56483637853685431</v>
      </c>
      <c r="I55" s="36">
        <f t="shared" si="3"/>
        <v>6.5296701712326023E-3</v>
      </c>
      <c r="J55" s="29">
        <f t="shared" si="4"/>
        <v>0.33954284890409531</v>
      </c>
      <c r="K55" s="8"/>
      <c r="L55" s="8"/>
      <c r="M55" s="23">
        <f t="shared" si="6"/>
        <v>1556.6890592475704</v>
      </c>
      <c r="P55" s="8">
        <v>52</v>
      </c>
      <c r="Q55" s="9">
        <f t="shared" si="7"/>
        <v>5.1380000000000002E-2</v>
      </c>
      <c r="R55" s="21">
        <f t="shared" si="8"/>
        <v>2.1875</v>
      </c>
      <c r="S55" s="21">
        <f t="shared" si="9"/>
        <v>0.16160063830510069</v>
      </c>
      <c r="T55" s="36">
        <f t="shared" si="10"/>
        <v>2.9911724390321464E-3</v>
      </c>
      <c r="U55" s="29">
        <f t="shared" si="11"/>
        <v>0.15554096682967161</v>
      </c>
      <c r="V55" s="8"/>
      <c r="W55" s="8"/>
      <c r="X55" s="23">
        <f t="shared" si="13"/>
        <v>445.37135916885751</v>
      </c>
      <c r="AA55" s="8">
        <v>52</v>
      </c>
      <c r="AB55" s="9">
        <f t="shared" si="14"/>
        <v>1.3799999999999993E-3</v>
      </c>
      <c r="AC55" s="21">
        <f t="shared" si="15"/>
        <v>2.1875</v>
      </c>
      <c r="AD55" s="21">
        <f t="shared" si="16"/>
        <v>2.036125644327488</v>
      </c>
      <c r="AE55" s="36">
        <f t="shared" si="17"/>
        <v>9.612605502740075E-3</v>
      </c>
      <c r="AF55" s="29">
        <f t="shared" si="18"/>
        <v>0.49985548614248387</v>
      </c>
      <c r="AG55" s="8"/>
      <c r="AH55" s="8"/>
      <c r="AI55" s="23">
        <f t="shared" si="20"/>
        <v>5611.5622757665569</v>
      </c>
    </row>
    <row r="56" spans="5:35" x14ac:dyDescent="0.25">
      <c r="E56" s="8">
        <v>53</v>
      </c>
      <c r="F56" s="9">
        <f t="shared" si="0"/>
        <v>2.6380000000000001E-2</v>
      </c>
      <c r="G56" s="21">
        <f t="shared" si="1"/>
        <v>2.1875</v>
      </c>
      <c r="H56" s="21">
        <f t="shared" si="2"/>
        <v>0.55031896425968385</v>
      </c>
      <c r="I56" s="36">
        <f t="shared" si="3"/>
        <v>6.3618447078397887E-3</v>
      </c>
      <c r="J56" s="29">
        <f t="shared" si="4"/>
        <v>0.33717776951550882</v>
      </c>
      <c r="K56" s="8"/>
      <c r="L56" s="8"/>
      <c r="M56" s="23">
        <f t="shared" si="6"/>
        <v>1575.0128757112152</v>
      </c>
      <c r="P56" s="8">
        <v>53</v>
      </c>
      <c r="Q56" s="9">
        <f t="shared" si="7"/>
        <v>5.1380000000000002E-2</v>
      </c>
      <c r="R56" s="21">
        <f t="shared" si="8"/>
        <v>2.1875</v>
      </c>
      <c r="S56" s="21">
        <f t="shared" si="9"/>
        <v>0.15370335968451049</v>
      </c>
      <c r="T56" s="36">
        <f t="shared" si="10"/>
        <v>2.8449965179403697E-3</v>
      </c>
      <c r="U56" s="29">
        <f t="shared" si="11"/>
        <v>0.1507848154508396</v>
      </c>
      <c r="V56" s="8"/>
      <c r="W56" s="8"/>
      <c r="X56" s="23">
        <f t="shared" si="13"/>
        <v>439.89901541706899</v>
      </c>
      <c r="AA56" s="8">
        <v>53</v>
      </c>
      <c r="AB56" s="9">
        <f t="shared" si="14"/>
        <v>1.3799999999999993E-3</v>
      </c>
      <c r="AC56" s="21">
        <f t="shared" si="15"/>
        <v>2.1875</v>
      </c>
      <c r="AD56" s="21">
        <f t="shared" si="16"/>
        <v>2.0333196631922821</v>
      </c>
      <c r="AE56" s="36">
        <f t="shared" si="17"/>
        <v>9.5993583881644057E-3</v>
      </c>
      <c r="AF56" s="29">
        <f t="shared" si="18"/>
        <v>0.50876599457271354</v>
      </c>
      <c r="AG56" s="8"/>
      <c r="AH56" s="8"/>
      <c r="AI56" s="23">
        <f t="shared" si="20"/>
        <v>5819.3608760563111</v>
      </c>
    </row>
    <row r="57" spans="5:35" x14ac:dyDescent="0.25">
      <c r="E57" s="8">
        <v>54</v>
      </c>
      <c r="F57" s="9">
        <f t="shared" si="0"/>
        <v>2.6380000000000001E-2</v>
      </c>
      <c r="G57" s="21">
        <f t="shared" si="1"/>
        <v>2.1875</v>
      </c>
      <c r="H57" s="21">
        <f t="shared" si="2"/>
        <v>0.53617467629891824</v>
      </c>
      <c r="I57" s="36">
        <f t="shared" si="3"/>
        <v>6.1983326914396095E-3</v>
      </c>
      <c r="J57" s="29">
        <f t="shared" si="4"/>
        <v>0.33470996533773889</v>
      </c>
      <c r="K57" s="8"/>
      <c r="L57" s="8"/>
      <c r="M57" s="23">
        <f t="shared" si="6"/>
        <v>1592.4387886077873</v>
      </c>
      <c r="P57" s="8">
        <v>54</v>
      </c>
      <c r="Q57" s="9">
        <f t="shared" si="7"/>
        <v>5.1380000000000002E-2</v>
      </c>
      <c r="R57" s="21">
        <f t="shared" si="8"/>
        <v>2.1875</v>
      </c>
      <c r="S57" s="21">
        <f t="shared" si="9"/>
        <v>0.14619201400493687</v>
      </c>
      <c r="T57" s="36">
        <f t="shared" si="10"/>
        <v>2.7059640833384411E-3</v>
      </c>
      <c r="U57" s="29">
        <f t="shared" si="11"/>
        <v>0.14612206050027582</v>
      </c>
      <c r="V57" s="8"/>
      <c r="W57" s="8"/>
      <c r="X57" s="23">
        <f t="shared" si="13"/>
        <v>434.19028159466251</v>
      </c>
      <c r="AA57" s="8">
        <v>54</v>
      </c>
      <c r="AB57" s="9">
        <f t="shared" si="14"/>
        <v>1.3799999999999993E-3</v>
      </c>
      <c r="AC57" s="21">
        <f t="shared" si="15"/>
        <v>2.1875</v>
      </c>
      <c r="AD57" s="21">
        <f t="shared" si="16"/>
        <v>2.0305175489746978</v>
      </c>
      <c r="AE57" s="36">
        <f t="shared" si="17"/>
        <v>9.5861295294138189E-3</v>
      </c>
      <c r="AF57" s="29">
        <f t="shared" si="18"/>
        <v>0.51765099458834618</v>
      </c>
      <c r="AG57" s="8"/>
      <c r="AH57" s="8"/>
      <c r="AI57" s="23">
        <f t="shared" si="20"/>
        <v>6030.6371204548523</v>
      </c>
    </row>
    <row r="58" spans="5:35" x14ac:dyDescent="0.25">
      <c r="E58" s="8">
        <v>55</v>
      </c>
      <c r="F58" s="9">
        <f t="shared" si="0"/>
        <v>2.6380000000000001E-2</v>
      </c>
      <c r="G58" s="21">
        <f t="shared" si="1"/>
        <v>2.1875</v>
      </c>
      <c r="H58" s="21">
        <f t="shared" si="2"/>
        <v>0.52239392456879352</v>
      </c>
      <c r="I58" s="36">
        <f t="shared" si="3"/>
        <v>6.039023257896306E-3</v>
      </c>
      <c r="J58" s="29">
        <f t="shared" si="4"/>
        <v>0.33214627918429684</v>
      </c>
      <c r="K58" s="8"/>
      <c r="L58" s="8"/>
      <c r="M58" s="23">
        <f t="shared" si="6"/>
        <v>1608.973287671884</v>
      </c>
      <c r="P58" s="8">
        <v>55</v>
      </c>
      <c r="Q58" s="9">
        <f t="shared" si="7"/>
        <v>5.1380000000000002E-2</v>
      </c>
      <c r="R58" s="21">
        <f t="shared" si="8"/>
        <v>2.1875</v>
      </c>
      <c r="S58" s="21">
        <f t="shared" si="9"/>
        <v>0.13904774106882084</v>
      </c>
      <c r="T58" s="36">
        <f t="shared" si="10"/>
        <v>2.5737260394324041E-3</v>
      </c>
      <c r="U58" s="29">
        <f t="shared" si="11"/>
        <v>0.14155493216878223</v>
      </c>
      <c r="V58" s="8"/>
      <c r="W58" s="8"/>
      <c r="X58" s="23">
        <f t="shared" si="13"/>
        <v>428.2670424919682</v>
      </c>
      <c r="AA58" s="8">
        <v>55</v>
      </c>
      <c r="AB58" s="9">
        <f t="shared" si="14"/>
        <v>1.3799999999999993E-3</v>
      </c>
      <c r="AC58" s="21">
        <f t="shared" si="15"/>
        <v>2.1875</v>
      </c>
      <c r="AD58" s="21">
        <f t="shared" si="16"/>
        <v>2.0277192963457411</v>
      </c>
      <c r="AE58" s="36">
        <f t="shared" si="17"/>
        <v>9.572918901329986E-3</v>
      </c>
      <c r="AF58" s="29">
        <f t="shared" si="18"/>
        <v>0.52651053957314919</v>
      </c>
      <c r="AG58" s="8"/>
      <c r="AH58" s="8"/>
      <c r="AI58" s="23">
        <f t="shared" si="20"/>
        <v>6245.3754327448823</v>
      </c>
    </row>
    <row r="59" spans="5:35" x14ac:dyDescent="0.25">
      <c r="E59" s="8">
        <v>56</v>
      </c>
      <c r="F59" s="9">
        <f t="shared" si="0"/>
        <v>2.6380000000000001E-2</v>
      </c>
      <c r="G59" s="21">
        <f t="shared" si="1"/>
        <v>2.1875</v>
      </c>
      <c r="H59" s="21">
        <f t="shared" si="2"/>
        <v>0.50896736546775401</v>
      </c>
      <c r="I59" s="36">
        <f t="shared" si="3"/>
        <v>5.8838083925020985E-3</v>
      </c>
      <c r="J59" s="29">
        <f t="shared" si="4"/>
        <v>0.32949326998011752</v>
      </c>
      <c r="K59" s="8"/>
      <c r="L59" s="8"/>
      <c r="M59" s="23">
        <f t="shared" si="6"/>
        <v>1624.6238305730708</v>
      </c>
      <c r="P59" s="8">
        <v>56</v>
      </c>
      <c r="Q59" s="9">
        <f t="shared" si="7"/>
        <v>5.3879999999999997E-2</v>
      </c>
      <c r="R59" s="21">
        <f t="shared" si="8"/>
        <v>2.1875</v>
      </c>
      <c r="S59" s="21">
        <f t="shared" si="9"/>
        <v>0.1157825063693058</v>
      </c>
      <c r="T59" s="36">
        <f t="shared" si="10"/>
        <v>2.1430945174861988E-3</v>
      </c>
      <c r="U59" s="29">
        <f t="shared" si="11"/>
        <v>0.12001329297922714</v>
      </c>
      <c r="V59" s="8"/>
      <c r="W59" s="8"/>
      <c r="X59" s="23">
        <f t="shared" si="13"/>
        <v>369.57776033082411</v>
      </c>
      <c r="AA59" s="8">
        <v>56</v>
      </c>
      <c r="AB59" s="9">
        <f t="shared" si="14"/>
        <v>-1.1199999999999995E-3</v>
      </c>
      <c r="AC59" s="21">
        <f t="shared" si="15"/>
        <v>2.1875</v>
      </c>
      <c r="AD59" s="21">
        <f t="shared" si="16"/>
        <v>2.3291758410018124</v>
      </c>
      <c r="AE59" s="36">
        <f t="shared" si="17"/>
        <v>1.0996103589402154E-2</v>
      </c>
      <c r="AF59" s="29">
        <f t="shared" si="18"/>
        <v>0.61578180100652058</v>
      </c>
      <c r="AG59" s="8"/>
      <c r="AH59" s="8"/>
      <c r="AI59" s="23">
        <f t="shared" si="20"/>
        <v>7434.7292844777849</v>
      </c>
    </row>
    <row r="60" spans="5:35" x14ac:dyDescent="0.25">
      <c r="E60" s="8">
        <v>57</v>
      </c>
      <c r="F60" s="9">
        <f t="shared" si="0"/>
        <v>2.6380000000000001E-2</v>
      </c>
      <c r="G60" s="21">
        <f t="shared" si="1"/>
        <v>2.1875</v>
      </c>
      <c r="H60" s="21">
        <f t="shared" si="2"/>
        <v>0.49588589554332119</v>
      </c>
      <c r="I60" s="36">
        <f t="shared" si="3"/>
        <v>5.7325828567412638E-3</v>
      </c>
      <c r="J60" s="29">
        <f t="shared" si="4"/>
        <v>0.32675722283425201</v>
      </c>
      <c r="K60" s="8"/>
      <c r="L60" s="8"/>
      <c r="M60" s="23">
        <f t="shared" si="6"/>
        <v>1639.3987706662199</v>
      </c>
      <c r="P60" s="8">
        <v>57</v>
      </c>
      <c r="Q60" s="9">
        <f t="shared" si="7"/>
        <v>5.3879999999999997E-2</v>
      </c>
      <c r="R60" s="21">
        <f t="shared" si="8"/>
        <v>2.1875</v>
      </c>
      <c r="S60" s="21">
        <f t="shared" si="9"/>
        <v>0.10986308343388794</v>
      </c>
      <c r="T60" s="36">
        <f t="shared" si="10"/>
        <v>2.0335280273714265E-3</v>
      </c>
      <c r="U60" s="29">
        <f t="shared" si="11"/>
        <v>0.1159110975601713</v>
      </c>
      <c r="V60" s="8"/>
      <c r="W60" s="8"/>
      <c r="X60" s="23">
        <f t="shared" si="13"/>
        <v>363.20735383243351</v>
      </c>
      <c r="AA60" s="8">
        <v>57</v>
      </c>
      <c r="AB60" s="9">
        <f t="shared" si="14"/>
        <v>-1.1199999999999995E-3</v>
      </c>
      <c r="AC60" s="21">
        <f t="shared" si="15"/>
        <v>2.1875</v>
      </c>
      <c r="AD60" s="21">
        <f t="shared" si="16"/>
        <v>2.3317874429379031</v>
      </c>
      <c r="AE60" s="36">
        <f t="shared" si="17"/>
        <v>1.1008433034400683E-2</v>
      </c>
      <c r="AF60" s="29">
        <f t="shared" si="18"/>
        <v>0.62748068296083892</v>
      </c>
      <c r="AG60" s="8"/>
      <c r="AH60" s="8"/>
      <c r="AI60" s="23">
        <f t="shared" si="20"/>
        <v>7708.8892863527071</v>
      </c>
    </row>
    <row r="61" spans="5:35" x14ac:dyDescent="0.25">
      <c r="E61" s="8">
        <v>58</v>
      </c>
      <c r="F61" s="9">
        <f t="shared" si="0"/>
        <v>2.6380000000000001E-2</v>
      </c>
      <c r="G61" s="21">
        <f t="shared" si="1"/>
        <v>2.1875</v>
      </c>
      <c r="H61" s="21">
        <f t="shared" si="2"/>
        <v>0.48314064531978507</v>
      </c>
      <c r="I61" s="36">
        <f t="shared" si="3"/>
        <v>5.5852441169364775E-3</v>
      </c>
      <c r="J61" s="29">
        <f t="shared" si="4"/>
        <v>0.32394415878231569</v>
      </c>
      <c r="K61" s="8"/>
      <c r="L61" s="8"/>
      <c r="M61" s="23">
        <f t="shared" si="6"/>
        <v>1653.3072882843046</v>
      </c>
      <c r="P61" s="8">
        <v>58</v>
      </c>
      <c r="Q61" s="9">
        <f t="shared" si="7"/>
        <v>5.3879999999999997E-2</v>
      </c>
      <c r="R61" s="21">
        <f t="shared" si="8"/>
        <v>2.1875</v>
      </c>
      <c r="S61" s="21">
        <f t="shared" si="9"/>
        <v>0.10424629315850757</v>
      </c>
      <c r="T61" s="36">
        <f t="shared" si="10"/>
        <v>1.9295631640902447E-3</v>
      </c>
      <c r="U61" s="29">
        <f t="shared" si="11"/>
        <v>0.1119146635172342</v>
      </c>
      <c r="V61" s="8"/>
      <c r="W61" s="8"/>
      <c r="X61" s="23">
        <f t="shared" si="13"/>
        <v>356.73081518841292</v>
      </c>
      <c r="AA61" s="8">
        <v>58</v>
      </c>
      <c r="AB61" s="9">
        <f t="shared" si="14"/>
        <v>-1.1199999999999995E-3</v>
      </c>
      <c r="AC61" s="21">
        <f t="shared" si="15"/>
        <v>2.1875</v>
      </c>
      <c r="AD61" s="21">
        <f t="shared" si="16"/>
        <v>2.3344019731478283</v>
      </c>
      <c r="AE61" s="36">
        <f t="shared" si="17"/>
        <v>1.1020776303861007E-2</v>
      </c>
      <c r="AF61" s="29">
        <f t="shared" si="18"/>
        <v>0.63920502562393844</v>
      </c>
      <c r="AG61" s="8"/>
      <c r="AH61" s="8"/>
      <c r="AI61" s="23">
        <f t="shared" si="20"/>
        <v>7988.3235521118686</v>
      </c>
    </row>
    <row r="62" spans="5:35" x14ac:dyDescent="0.25">
      <c r="E62" s="8">
        <v>59</v>
      </c>
      <c r="F62" s="9">
        <f t="shared" si="0"/>
        <v>2.6380000000000001E-2</v>
      </c>
      <c r="G62" s="21">
        <f t="shared" si="1"/>
        <v>2.1875</v>
      </c>
      <c r="H62" s="21">
        <f t="shared" si="2"/>
        <v>0.4707229732845391</v>
      </c>
      <c r="I62" s="36">
        <f t="shared" si="3"/>
        <v>5.4416922747291254E-3</v>
      </c>
      <c r="J62" s="29">
        <f t="shared" si="4"/>
        <v>0.3210598442090184</v>
      </c>
      <c r="K62" s="8"/>
      <c r="L62" s="8"/>
      <c r="M62" s="23">
        <f t="shared" si="6"/>
        <v>1666.3593254272685</v>
      </c>
      <c r="P62" s="8">
        <v>59</v>
      </c>
      <c r="Q62" s="9">
        <f t="shared" si="7"/>
        <v>5.3879999999999997E-2</v>
      </c>
      <c r="R62" s="21">
        <f t="shared" si="8"/>
        <v>2.1875</v>
      </c>
      <c r="S62" s="21">
        <f t="shared" si="9"/>
        <v>9.8916663337863475E-2</v>
      </c>
      <c r="T62" s="36">
        <f t="shared" si="10"/>
        <v>1.8309135424244168E-3</v>
      </c>
      <c r="U62" s="29">
        <f t="shared" si="11"/>
        <v>0.10802389900304059</v>
      </c>
      <c r="V62" s="8"/>
      <c r="W62" s="8"/>
      <c r="X62" s="23">
        <f t="shared" si="13"/>
        <v>350.1649882160367</v>
      </c>
      <c r="AA62" s="8">
        <v>59</v>
      </c>
      <c r="AB62" s="9">
        <f t="shared" si="14"/>
        <v>-1.1199999999999995E-3</v>
      </c>
      <c r="AC62" s="21">
        <f t="shared" si="15"/>
        <v>2.1875</v>
      </c>
      <c r="AD62" s="21">
        <f t="shared" si="16"/>
        <v>2.3370194349149336</v>
      </c>
      <c r="AE62" s="36">
        <f t="shared" si="17"/>
        <v>1.1033133413283887E-2</v>
      </c>
      <c r="AF62" s="29">
        <f t="shared" si="18"/>
        <v>0.6509548713837493</v>
      </c>
      <c r="AG62" s="8"/>
      <c r="AH62" s="8"/>
      <c r="AI62" s="23">
        <f t="shared" si="20"/>
        <v>8273.0487995988642</v>
      </c>
    </row>
    <row r="63" spans="5:35" x14ac:dyDescent="0.25">
      <c r="E63" s="8">
        <v>60</v>
      </c>
      <c r="F63" s="9">
        <f t="shared" si="0"/>
        <v>2.6380000000000001E-2</v>
      </c>
      <c r="G63" s="21">
        <f>$C$10+$C$5</f>
        <v>102.1875</v>
      </c>
      <c r="H63" s="21">
        <f t="shared" si="2"/>
        <v>21.424314061353524</v>
      </c>
      <c r="I63" s="36">
        <f t="shared" si="3"/>
        <v>0.24767120139803736</v>
      </c>
      <c r="J63" s="29">
        <f t="shared" si="4"/>
        <v>14.860272083882242</v>
      </c>
      <c r="K63" s="8"/>
      <c r="L63" s="8"/>
      <c r="M63" s="23">
        <f t="shared" si="6"/>
        <v>78412.989464553903</v>
      </c>
      <c r="P63" s="8">
        <v>60</v>
      </c>
      <c r="Q63" s="9">
        <f t="shared" si="7"/>
        <v>5.3879999999999997E-2</v>
      </c>
      <c r="R63" s="21">
        <f>$C$10+$C$5</f>
        <v>102.1875</v>
      </c>
      <c r="S63" s="21">
        <f t="shared" si="9"/>
        <v>4.3845800974197875</v>
      </c>
      <c r="T63" s="36">
        <f t="shared" si="10"/>
        <v>8.1157075130915468E-2</v>
      </c>
      <c r="U63" s="29">
        <f t="shared" si="11"/>
        <v>4.8694245078549283</v>
      </c>
      <c r="V63" s="8"/>
      <c r="W63" s="8"/>
      <c r="X63" s="23">
        <f t="shared" si="13"/>
        <v>16047.563156556422</v>
      </c>
      <c r="AA63" s="8">
        <v>60</v>
      </c>
      <c r="AB63" s="9">
        <f t="shared" si="14"/>
        <v>-1.1199999999999995E-3</v>
      </c>
      <c r="AC63" s="21">
        <f>$C$10+$C$5</f>
        <v>102.1875</v>
      </c>
      <c r="AD63" s="21">
        <f t="shared" si="16"/>
        <v>109.2946035584402</v>
      </c>
      <c r="AE63" s="36">
        <f t="shared" si="17"/>
        <v>0.51598284738104261</v>
      </c>
      <c r="AF63" s="29">
        <f t="shared" si="18"/>
        <v>30.958970842862556</v>
      </c>
      <c r="AG63" s="8"/>
      <c r="AH63" s="8"/>
      <c r="AI63" s="23">
        <f t="shared" si="20"/>
        <v>400018.24902389111</v>
      </c>
    </row>
    <row r="64" spans="5:35" x14ac:dyDescent="0.25">
      <c r="E64" s="18"/>
      <c r="F64" s="18"/>
      <c r="G64" s="22"/>
      <c r="H64" s="22">
        <f>SUM(H4:H63)</f>
        <v>86.503048963379797</v>
      </c>
      <c r="I64" s="18"/>
      <c r="J64" s="30">
        <f>SUM(J4:J63)</f>
        <v>31.960931223384222</v>
      </c>
      <c r="K64" s="18"/>
      <c r="L64" s="18"/>
      <c r="M64" s="24">
        <f>SUM(M4:M63)</f>
        <v>130354.03181798264</v>
      </c>
      <c r="P64" s="18"/>
      <c r="Q64" s="18"/>
      <c r="R64" s="22"/>
      <c r="S64" s="22">
        <f>SUM(S4:S63)</f>
        <v>54.025851601317171</v>
      </c>
      <c r="T64" s="18"/>
      <c r="U64" s="30">
        <f>SUM(U4:U63)</f>
        <v>21.130289497519371</v>
      </c>
      <c r="V64" s="18"/>
      <c r="W64" s="18"/>
      <c r="X64" s="24">
        <f>SUM(X4:X63)</f>
        <v>41472.717521861094</v>
      </c>
      <c r="AA64" s="18"/>
      <c r="AB64" s="18"/>
      <c r="AC64" s="22"/>
      <c r="AD64" s="22">
        <f>SUM(AD4:AD63)</f>
        <v>211.81828836594718</v>
      </c>
      <c r="AE64" s="18"/>
      <c r="AF64" s="30">
        <f>SUM(AF4:AF63)</f>
        <v>45.80724431450173</v>
      </c>
      <c r="AG64" s="18"/>
      <c r="AH64" s="18"/>
      <c r="AI64" s="24">
        <f>SUM(AI4:AI63)</f>
        <v>532903.02508415119</v>
      </c>
    </row>
    <row r="66" spans="5:28" x14ac:dyDescent="0.25">
      <c r="E66" s="25" t="s">
        <v>18</v>
      </c>
      <c r="F66" s="31">
        <f>J64</f>
        <v>31.960931223384222</v>
      </c>
      <c r="P66" s="25" t="s">
        <v>18</v>
      </c>
      <c r="Q66" s="31">
        <f>U64</f>
        <v>21.130289497519371</v>
      </c>
      <c r="AA66" s="25" t="s">
        <v>18</v>
      </c>
      <c r="AB66" s="31">
        <f>AF64</f>
        <v>45.80724431450173</v>
      </c>
    </row>
    <row r="67" spans="5:28" x14ac:dyDescent="0.25">
      <c r="E67" s="34" t="s">
        <v>19</v>
      </c>
      <c r="F67" s="29">
        <f>F66/(1+$C$6)</f>
        <v>30.35918084215227</v>
      </c>
      <c r="P67" s="34" t="s">
        <v>19</v>
      </c>
      <c r="Q67" s="29">
        <f>Q66/(1+$C$6)</f>
        <v>20.071326320832263</v>
      </c>
      <c r="AA67" s="34" t="s">
        <v>19</v>
      </c>
      <c r="AB67" s="29">
        <f>AB66/(1+$C$6)</f>
        <v>43.511573686786861</v>
      </c>
    </row>
    <row r="68" spans="5:28" x14ac:dyDescent="0.25">
      <c r="E68" s="34" t="s">
        <v>20</v>
      </c>
      <c r="F68" s="29">
        <f>M64/H64</f>
        <v>1506.9299103337585</v>
      </c>
      <c r="P68" s="34" t="s">
        <v>20</v>
      </c>
      <c r="Q68" s="29">
        <f>X64/S64</f>
        <v>767.64578979537964</v>
      </c>
      <c r="AA68" s="34" t="s">
        <v>20</v>
      </c>
      <c r="AB68" s="29">
        <f>AI64/AD64</f>
        <v>2515.8499258736479</v>
      </c>
    </row>
    <row r="69" spans="5:28" x14ac:dyDescent="0.25">
      <c r="E69" s="35" t="s">
        <v>36</v>
      </c>
      <c r="F69" s="28">
        <f>H64*F67*0.0001</f>
        <v>0.26261617068767995</v>
      </c>
      <c r="P69" s="35" t="s">
        <v>36</v>
      </c>
      <c r="Q69" s="28">
        <f>S64*Q67*0.0001</f>
        <v>0.10843704972508952</v>
      </c>
      <c r="AA69" s="35" t="s">
        <v>36</v>
      </c>
      <c r="AB69" s="28">
        <f>AD64*AB67*0.0001</f>
        <v>0.92165470624439794</v>
      </c>
    </row>
  </sheetData>
  <mergeCells count="1">
    <mergeCell ref="B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412C-27FC-4E5E-A67D-D093531A32A7}">
  <dimension ref="A1:AC76"/>
  <sheetViews>
    <sheetView showGridLines="0" tabSelected="1" zoomScale="53" workbookViewId="0">
      <selection activeCell="B1" sqref="B1:AB1"/>
    </sheetView>
  </sheetViews>
  <sheetFormatPr defaultRowHeight="13.8" x14ac:dyDescent="0.25"/>
  <cols>
    <col min="2" max="2" width="30.6640625" bestFit="1" customWidth="1"/>
  </cols>
  <sheetData>
    <row r="1" spans="1:29" ht="27.6" x14ac:dyDescent="0.45">
      <c r="A1" s="75"/>
      <c r="B1" s="76" t="s">
        <v>47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7"/>
    </row>
    <row r="2" spans="1:29" x14ac:dyDescent="0.25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80"/>
    </row>
    <row r="3" spans="1:29" x14ac:dyDescent="0.25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80"/>
    </row>
    <row r="4" spans="1:29" ht="22.8" x14ac:dyDescent="0.4">
      <c r="A4" s="78"/>
      <c r="B4" s="67" t="s">
        <v>49</v>
      </c>
      <c r="C4" s="74" t="s">
        <v>48</v>
      </c>
      <c r="D4" s="74"/>
      <c r="E4" s="74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80"/>
    </row>
    <row r="5" spans="1:29" x14ac:dyDescent="0.25">
      <c r="A5" s="78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80"/>
    </row>
    <row r="6" spans="1:29" x14ac:dyDescent="0.25">
      <c r="A6" s="78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80"/>
    </row>
    <row r="7" spans="1:29" x14ac:dyDescent="0.25">
      <c r="A7" s="78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80"/>
    </row>
    <row r="8" spans="1:29" x14ac:dyDescent="0.25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80"/>
    </row>
    <row r="9" spans="1:29" x14ac:dyDescent="0.25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80"/>
    </row>
    <row r="10" spans="1:29" x14ac:dyDescent="0.25">
      <c r="A10" s="78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80"/>
    </row>
    <row r="11" spans="1:29" x14ac:dyDescent="0.25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80"/>
    </row>
    <row r="12" spans="1:29" x14ac:dyDescent="0.25">
      <c r="A12" s="78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80"/>
    </row>
    <row r="13" spans="1:29" x14ac:dyDescent="0.25">
      <c r="A13" s="78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80"/>
    </row>
    <row r="14" spans="1:29" x14ac:dyDescent="0.25">
      <c r="A14" s="78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80"/>
    </row>
    <row r="15" spans="1:29" x14ac:dyDescent="0.25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80"/>
    </row>
    <row r="16" spans="1:29" x14ac:dyDescent="0.25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80"/>
    </row>
    <row r="17" spans="1:29" x14ac:dyDescent="0.25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80"/>
    </row>
    <row r="18" spans="1:29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80"/>
    </row>
    <row r="19" spans="1:29" x14ac:dyDescent="0.25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80"/>
    </row>
    <row r="20" spans="1:29" x14ac:dyDescent="0.25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80"/>
    </row>
    <row r="21" spans="1:29" x14ac:dyDescent="0.25">
      <c r="A21" s="78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80"/>
    </row>
    <row r="22" spans="1:29" x14ac:dyDescent="0.25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80"/>
    </row>
    <row r="23" spans="1:29" x14ac:dyDescent="0.25">
      <c r="A23" s="78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80"/>
    </row>
    <row r="24" spans="1:29" ht="15" x14ac:dyDescent="0.25">
      <c r="A24" s="78"/>
      <c r="B24" s="81" t="s">
        <v>46</v>
      </c>
      <c r="C24" s="81" t="s">
        <v>23</v>
      </c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80"/>
    </row>
    <row r="25" spans="1:29" ht="15.6" x14ac:dyDescent="0.3">
      <c r="A25" s="78"/>
      <c r="B25" s="82">
        <v>1</v>
      </c>
      <c r="C25" s="83">
        <v>3.7719999999999997E-2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80"/>
    </row>
    <row r="26" spans="1:29" ht="15.6" x14ac:dyDescent="0.3">
      <c r="A26" s="78"/>
      <c r="B26" s="82">
        <v>3</v>
      </c>
      <c r="C26" s="83">
        <v>3.7990000000000003E-2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80"/>
    </row>
    <row r="27" spans="1:29" ht="15.6" x14ac:dyDescent="0.3">
      <c r="A27" s="78"/>
      <c r="B27" s="82">
        <v>5</v>
      </c>
      <c r="C27" s="83">
        <v>3.9609999999999999E-2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80"/>
    </row>
    <row r="28" spans="1:29" ht="15.6" x14ac:dyDescent="0.3">
      <c r="A28" s="78"/>
      <c r="B28" s="82">
        <v>10</v>
      </c>
      <c r="C28" s="83">
        <v>4.5179999999999998E-2</v>
      </c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80"/>
    </row>
    <row r="29" spans="1:29" ht="15.6" x14ac:dyDescent="0.3">
      <c r="A29" s="78"/>
      <c r="B29" s="82">
        <v>15</v>
      </c>
      <c r="C29" s="83">
        <v>4.9160000000000002E-2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80"/>
    </row>
    <row r="30" spans="1:29" ht="15.6" x14ac:dyDescent="0.3">
      <c r="A30" s="78"/>
      <c r="B30" s="82">
        <v>20</v>
      </c>
      <c r="C30" s="83">
        <v>5.1639999999999998E-2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80"/>
    </row>
    <row r="31" spans="1:29" ht="15.6" x14ac:dyDescent="0.3">
      <c r="A31" s="78"/>
      <c r="B31" s="82">
        <v>30</v>
      </c>
      <c r="C31" s="83">
        <v>5.2699999999999997E-2</v>
      </c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80"/>
    </row>
    <row r="32" spans="1:29" ht="15.6" x14ac:dyDescent="0.3">
      <c r="A32" s="78"/>
      <c r="B32" s="82">
        <v>50</v>
      </c>
      <c r="C32" s="83">
        <v>4.7399999999999998E-2</v>
      </c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80"/>
    </row>
    <row r="33" spans="1:29" x14ac:dyDescent="0.25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80"/>
    </row>
    <row r="34" spans="1:29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80"/>
    </row>
    <row r="35" spans="1:29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80"/>
    </row>
    <row r="36" spans="1:29" x14ac:dyDescent="0.25">
      <c r="A36" s="78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80"/>
    </row>
    <row r="37" spans="1:29" x14ac:dyDescent="0.25">
      <c r="A37" s="78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80"/>
    </row>
    <row r="38" spans="1:29" x14ac:dyDescent="0.25">
      <c r="A38" s="78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80"/>
    </row>
    <row r="39" spans="1:29" x14ac:dyDescent="0.25">
      <c r="A39" s="78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80"/>
    </row>
    <row r="40" spans="1:29" x14ac:dyDescent="0.25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80"/>
    </row>
    <row r="41" spans="1:29" x14ac:dyDescent="0.25">
      <c r="A41" s="78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80"/>
    </row>
    <row r="42" spans="1:29" x14ac:dyDescent="0.25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80"/>
    </row>
    <row r="43" spans="1:29" x14ac:dyDescent="0.25">
      <c r="A43" s="78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80"/>
    </row>
    <row r="44" spans="1:29" x14ac:dyDescent="0.25">
      <c r="A44" s="78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80"/>
    </row>
    <row r="45" spans="1:29" x14ac:dyDescent="0.25">
      <c r="A45" s="78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80"/>
    </row>
    <row r="46" spans="1:29" x14ac:dyDescent="0.25">
      <c r="A46" s="78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80"/>
    </row>
    <row r="47" spans="1:29" x14ac:dyDescent="0.25">
      <c r="A47" s="78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80"/>
    </row>
    <row r="48" spans="1:29" x14ac:dyDescent="0.25">
      <c r="A48" s="78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80"/>
    </row>
    <row r="49" spans="1:29" x14ac:dyDescent="0.25">
      <c r="A49" s="78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80"/>
    </row>
    <row r="50" spans="1:29" x14ac:dyDescent="0.25">
      <c r="A50" s="78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80"/>
    </row>
    <row r="51" spans="1:29" x14ac:dyDescent="0.25">
      <c r="A51" s="78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80"/>
    </row>
    <row r="52" spans="1:29" x14ac:dyDescent="0.25">
      <c r="A52" s="78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80"/>
    </row>
    <row r="53" spans="1:29" x14ac:dyDescent="0.25">
      <c r="A53" s="78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80"/>
    </row>
    <row r="54" spans="1:29" x14ac:dyDescent="0.25">
      <c r="A54" s="78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80"/>
    </row>
    <row r="55" spans="1:29" x14ac:dyDescent="0.25">
      <c r="A55" s="78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80"/>
    </row>
    <row r="56" spans="1:29" x14ac:dyDescent="0.25">
      <c r="A56" s="78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80"/>
    </row>
    <row r="57" spans="1:29" x14ac:dyDescent="0.25">
      <c r="A57" s="78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80"/>
    </row>
    <row r="58" spans="1:29" x14ac:dyDescent="0.25">
      <c r="A58" s="78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80"/>
    </row>
    <row r="59" spans="1:29" x14ac:dyDescent="0.25">
      <c r="A59" s="78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80"/>
    </row>
    <row r="60" spans="1:29" x14ac:dyDescent="0.25">
      <c r="A60" s="78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80"/>
    </row>
    <row r="61" spans="1:29" x14ac:dyDescent="0.25">
      <c r="A61" s="78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80"/>
    </row>
    <row r="62" spans="1:29" x14ac:dyDescent="0.25">
      <c r="A62" s="78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80"/>
    </row>
    <row r="63" spans="1:29" x14ac:dyDescent="0.25">
      <c r="A63" s="78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80"/>
    </row>
    <row r="64" spans="1:29" x14ac:dyDescent="0.25">
      <c r="A64" s="78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80"/>
    </row>
    <row r="65" spans="1:29" x14ac:dyDescent="0.25">
      <c r="A65" s="78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80"/>
    </row>
    <row r="66" spans="1:29" x14ac:dyDescent="0.25">
      <c r="A66" s="78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80"/>
    </row>
    <row r="67" spans="1:29" x14ac:dyDescent="0.25">
      <c r="A67" s="78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80"/>
    </row>
    <row r="68" spans="1:29" x14ac:dyDescent="0.25">
      <c r="A68" s="78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80"/>
    </row>
    <row r="69" spans="1:29" x14ac:dyDescent="0.25">
      <c r="A69" s="78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80"/>
    </row>
    <row r="70" spans="1:29" x14ac:dyDescent="0.25">
      <c r="A70" s="78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80"/>
    </row>
    <row r="71" spans="1:29" x14ac:dyDescent="0.25">
      <c r="A71" s="78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80"/>
    </row>
    <row r="72" spans="1:29" x14ac:dyDescent="0.25">
      <c r="A72" s="78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80"/>
    </row>
    <row r="73" spans="1:29" x14ac:dyDescent="0.25">
      <c r="A73" s="78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80"/>
    </row>
    <row r="74" spans="1:29" x14ac:dyDescent="0.25">
      <c r="A74" s="78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80"/>
    </row>
    <row r="75" spans="1:29" x14ac:dyDescent="0.25">
      <c r="A75" s="78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80"/>
    </row>
    <row r="76" spans="1:29" ht="14.4" thickBot="1" x14ac:dyDescent="0.3">
      <c r="A76" s="84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6"/>
    </row>
  </sheetData>
  <mergeCells count="2">
    <mergeCell ref="C4:E4"/>
    <mergeCell ref="B1:AB1"/>
  </mergeCells>
  <pageMargins left="0.70866141732283472" right="0.70866141732283472" top="0.74803149606299213" bottom="0.74803149606299213" header="0.31496062992125984" footer="0.31496062992125984"/>
  <pageSetup paperSiz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GBP01 &amp; Convexity</vt:lpstr>
      <vt:lpstr>10 year Gilt</vt:lpstr>
      <vt:lpstr>10 Year Scenario</vt:lpstr>
      <vt:lpstr>30 year Gilt</vt:lpstr>
      <vt:lpstr>30 Year Scenario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Biswas</dc:creator>
  <cp:lastModifiedBy>Ayan Biswas</cp:lastModifiedBy>
  <cp:lastPrinted>2025-12-15T06:40:22Z</cp:lastPrinted>
  <dcterms:created xsi:type="dcterms:W3CDTF">2025-12-14T05:15:30Z</dcterms:created>
  <dcterms:modified xsi:type="dcterms:W3CDTF">2025-12-15T06:54:58Z</dcterms:modified>
</cp:coreProperties>
</file>