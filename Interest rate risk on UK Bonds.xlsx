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tudies\Projects\Interest rate risk on bonds\"/>
    </mc:Choice>
  </mc:AlternateContent>
  <xr:revisionPtr revIDLastSave="0" documentId="13_ncr:1_{3486F9E2-410F-4F99-9BD0-5826651DC484}" xr6:coauthVersionLast="47" xr6:coauthVersionMax="47" xr10:uidLastSave="{00000000-0000-0000-0000-000000000000}"/>
  <bookViews>
    <workbookView xWindow="-108" yWindow="-108" windowWidth="23256" windowHeight="13896" activeTab="3" xr2:uid="{99C8297C-9CDA-4EB1-A9C7-F67357AA1D83}"/>
  </bookViews>
  <sheets>
    <sheet name="GBP01 &amp; Convexity" sheetId="1" r:id="rId1"/>
    <sheet name="10 year Gilt (2)" sheetId="8" r:id="rId2"/>
    <sheet name="10 Year Scenario" sheetId="5" r:id="rId3"/>
    <sheet name="30 year Gilt (2)" sheetId="9" r:id="rId4"/>
    <sheet name="30 Year Scenario" sheetId="6" r:id="rId5"/>
    <sheet name="Dashboard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O4" i="1"/>
  <c r="N4" i="1"/>
  <c r="Z68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4" i="6"/>
  <c r="AE64" i="6"/>
  <c r="Z66" i="6"/>
  <c r="AD4" i="6"/>
  <c r="AC4" i="6"/>
  <c r="AB4" i="6"/>
  <c r="AA63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4" i="6"/>
  <c r="Q6" i="6"/>
  <c r="Q7" i="6"/>
  <c r="Q8" i="6"/>
  <c r="Q9" i="6"/>
  <c r="Q10" i="6"/>
  <c r="Q11" i="6"/>
  <c r="Q18" i="6"/>
  <c r="Q19" i="6"/>
  <c r="Q22" i="6"/>
  <c r="Q23" i="6"/>
  <c r="Q24" i="6"/>
  <c r="Q25" i="6"/>
  <c r="Q26" i="6"/>
  <c r="Q27" i="6"/>
  <c r="Q34" i="6"/>
  <c r="Q35" i="6"/>
  <c r="Q38" i="6"/>
  <c r="Q39" i="6"/>
  <c r="Q40" i="6"/>
  <c r="Q41" i="6"/>
  <c r="Q42" i="6"/>
  <c r="Q43" i="6"/>
  <c r="Q50" i="6"/>
  <c r="Q51" i="6"/>
  <c r="Q53" i="6"/>
  <c r="Q54" i="6"/>
  <c r="Q55" i="6"/>
  <c r="Q56" i="6"/>
  <c r="Q57" i="6"/>
  <c r="Q58" i="6"/>
  <c r="Q59" i="6"/>
  <c r="P8" i="6"/>
  <c r="P9" i="6"/>
  <c r="P11" i="6"/>
  <c r="P12" i="6"/>
  <c r="P13" i="6"/>
  <c r="P14" i="6"/>
  <c r="P15" i="6"/>
  <c r="P16" i="6"/>
  <c r="P17" i="6"/>
  <c r="P24" i="6"/>
  <c r="P25" i="6"/>
  <c r="P27" i="6"/>
  <c r="P28" i="6"/>
  <c r="P29" i="6"/>
  <c r="P30" i="6"/>
  <c r="P31" i="6"/>
  <c r="P32" i="6"/>
  <c r="P33" i="6"/>
  <c r="P40" i="6"/>
  <c r="P41" i="6"/>
  <c r="P43" i="6"/>
  <c r="P44" i="6"/>
  <c r="P45" i="6"/>
  <c r="P46" i="6"/>
  <c r="P47" i="6"/>
  <c r="P48" i="6"/>
  <c r="P49" i="6"/>
  <c r="P56" i="6"/>
  <c r="P57" i="6"/>
  <c r="P59" i="6"/>
  <c r="P60" i="6"/>
  <c r="P61" i="6"/>
  <c r="P62" i="6"/>
  <c r="P63" i="6"/>
  <c r="P5" i="6"/>
  <c r="P4" i="6"/>
  <c r="G4" i="1"/>
  <c r="G5" i="1"/>
  <c r="G6" i="1"/>
  <c r="G7" i="1"/>
  <c r="G8" i="1"/>
  <c r="G3" i="1"/>
  <c r="C4" i="1"/>
  <c r="C5" i="1"/>
  <c r="L4" i="1" s="1"/>
  <c r="C6" i="1"/>
  <c r="C7" i="1"/>
  <c r="C8" i="1"/>
  <c r="AA23" i="5"/>
  <c r="AA5" i="5"/>
  <c r="AA6" i="5"/>
  <c r="AA10" i="5"/>
  <c r="AA12" i="5"/>
  <c r="AA13" i="5"/>
  <c r="AA14" i="5"/>
  <c r="AA15" i="5"/>
  <c r="AA16" i="5"/>
  <c r="AA17" i="5"/>
  <c r="AA18" i="5"/>
  <c r="AA19" i="5"/>
  <c r="AA20" i="5"/>
  <c r="AA21" i="5"/>
  <c r="AA22" i="5"/>
  <c r="C5" i="5"/>
  <c r="C6" i="5"/>
  <c r="F17" i="5" s="1"/>
  <c r="C7" i="5"/>
  <c r="C8" i="5"/>
  <c r="C9" i="5"/>
  <c r="AA9" i="5" s="1"/>
  <c r="K4" i="9"/>
  <c r="K5" i="9"/>
  <c r="K6" i="9"/>
  <c r="K7" i="9"/>
  <c r="K8" i="9"/>
  <c r="K9" i="9"/>
  <c r="K10" i="9"/>
  <c r="K63" i="9" s="1"/>
  <c r="C13" i="9" s="1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3" i="9"/>
  <c r="F15" i="6"/>
  <c r="F24" i="6"/>
  <c r="F31" i="6"/>
  <c r="F32" i="6"/>
  <c r="F33" i="6"/>
  <c r="F34" i="6"/>
  <c r="F35" i="6"/>
  <c r="F36" i="6"/>
  <c r="F48" i="6"/>
  <c r="F56" i="6"/>
  <c r="F61" i="6"/>
  <c r="G21" i="6"/>
  <c r="G22" i="6"/>
  <c r="G23" i="6"/>
  <c r="G24" i="6"/>
  <c r="H24" i="6" s="1"/>
  <c r="G25" i="6"/>
  <c r="G43" i="6"/>
  <c r="G44" i="6"/>
  <c r="C5" i="6"/>
  <c r="C6" i="6"/>
  <c r="F9" i="6" s="1"/>
  <c r="C7" i="6"/>
  <c r="C8" i="6"/>
  <c r="C9" i="6"/>
  <c r="G13" i="6" s="1"/>
  <c r="C4" i="6"/>
  <c r="J63" i="9"/>
  <c r="C11" i="9" s="1"/>
  <c r="C7" i="9"/>
  <c r="C8" i="9" s="1"/>
  <c r="G60" i="9" s="1"/>
  <c r="H60" i="9" s="1"/>
  <c r="C7" i="8"/>
  <c r="C8" i="8" s="1"/>
  <c r="G3" i="8" s="1"/>
  <c r="H3" i="8" s="1"/>
  <c r="K3" i="8" s="1"/>
  <c r="Q37" i="6" l="1"/>
  <c r="Q21" i="6"/>
  <c r="Q5" i="6"/>
  <c r="G20" i="6"/>
  <c r="F29" i="6"/>
  <c r="P58" i="6"/>
  <c r="P42" i="6"/>
  <c r="P26" i="6"/>
  <c r="P10" i="6"/>
  <c r="Q52" i="6"/>
  <c r="Q36" i="6"/>
  <c r="Q20" i="6"/>
  <c r="Q63" i="6"/>
  <c r="R63" i="6" s="1"/>
  <c r="V63" i="6" s="1"/>
  <c r="F55" i="6"/>
  <c r="F13" i="6"/>
  <c r="H13" i="6" s="1"/>
  <c r="L13" i="6" s="1"/>
  <c r="P55" i="6"/>
  <c r="P39" i="6"/>
  <c r="P23" i="6"/>
  <c r="P7" i="6"/>
  <c r="Q49" i="6"/>
  <c r="Q33" i="6"/>
  <c r="Q17" i="6"/>
  <c r="F54" i="6"/>
  <c r="F8" i="6"/>
  <c r="P54" i="6"/>
  <c r="P38" i="6"/>
  <c r="P22" i="6"/>
  <c r="P6" i="6"/>
  <c r="Q48" i="6"/>
  <c r="Q32" i="6"/>
  <c r="Q16" i="6"/>
  <c r="G55" i="6"/>
  <c r="H55" i="6" s="1"/>
  <c r="L55" i="6" s="1"/>
  <c r="F53" i="6"/>
  <c r="F7" i="6"/>
  <c r="P53" i="6"/>
  <c r="P37" i="6"/>
  <c r="P21" i="6"/>
  <c r="Q4" i="6"/>
  <c r="R4" i="6" s="1"/>
  <c r="V4" i="6" s="1"/>
  <c r="Q47" i="6"/>
  <c r="Q31" i="6"/>
  <c r="Q15" i="6"/>
  <c r="F6" i="6"/>
  <c r="P52" i="6"/>
  <c r="P36" i="6"/>
  <c r="P20" i="6"/>
  <c r="Q62" i="6"/>
  <c r="Q46" i="6"/>
  <c r="Q30" i="6"/>
  <c r="Q14" i="6"/>
  <c r="F52" i="6"/>
  <c r="G53" i="6"/>
  <c r="H53" i="6" s="1"/>
  <c r="L53" i="6" s="1"/>
  <c r="F51" i="6"/>
  <c r="F5" i="6"/>
  <c r="P51" i="6"/>
  <c r="P35" i="6"/>
  <c r="P19" i="6"/>
  <c r="Q61" i="6"/>
  <c r="Q45" i="6"/>
  <c r="Q29" i="6"/>
  <c r="Q13" i="6"/>
  <c r="G54" i="6"/>
  <c r="H54" i="6" s="1"/>
  <c r="L54" i="6" s="1"/>
  <c r="G52" i="6"/>
  <c r="H52" i="6" s="1"/>
  <c r="L52" i="6" s="1"/>
  <c r="F50" i="6"/>
  <c r="P50" i="6"/>
  <c r="P34" i="6"/>
  <c r="P18" i="6"/>
  <c r="Q60" i="6"/>
  <c r="Q44" i="6"/>
  <c r="Q28" i="6"/>
  <c r="Q12" i="6"/>
  <c r="F49" i="6"/>
  <c r="G42" i="6"/>
  <c r="G63" i="6"/>
  <c r="G11" i="6"/>
  <c r="F20" i="6"/>
  <c r="H20" i="6" s="1"/>
  <c r="L20" i="6" s="1"/>
  <c r="G59" i="6"/>
  <c r="G36" i="6"/>
  <c r="H36" i="6" s="1"/>
  <c r="L36" i="6" s="1"/>
  <c r="G6" i="6"/>
  <c r="H6" i="6" s="1"/>
  <c r="L6" i="6" s="1"/>
  <c r="F40" i="6"/>
  <c r="F19" i="6"/>
  <c r="G40" i="6"/>
  <c r="G9" i="6"/>
  <c r="H9" i="6" s="1"/>
  <c r="F47" i="6"/>
  <c r="F45" i="6"/>
  <c r="G58" i="6"/>
  <c r="G28" i="6"/>
  <c r="G5" i="6"/>
  <c r="H5" i="6" s="1"/>
  <c r="L5" i="6" s="1"/>
  <c r="F39" i="6"/>
  <c r="F18" i="6"/>
  <c r="G41" i="6"/>
  <c r="H41" i="6" s="1"/>
  <c r="G38" i="6"/>
  <c r="H38" i="6" s="1"/>
  <c r="L38" i="6" s="1"/>
  <c r="F21" i="6"/>
  <c r="H21" i="6" s="1"/>
  <c r="L21" i="6" s="1"/>
  <c r="G60" i="6"/>
  <c r="G37" i="6"/>
  <c r="G7" i="6"/>
  <c r="G57" i="6"/>
  <c r="G27" i="6"/>
  <c r="H27" i="6" s="1"/>
  <c r="F4" i="6"/>
  <c r="F38" i="6"/>
  <c r="F17" i="6"/>
  <c r="G12" i="6"/>
  <c r="G10" i="6"/>
  <c r="F23" i="6"/>
  <c r="H23" i="6" s="1"/>
  <c r="L23" i="6" s="1"/>
  <c r="G39" i="6"/>
  <c r="H39" i="6" s="1"/>
  <c r="L39" i="6" s="1"/>
  <c r="F22" i="6"/>
  <c r="H22" i="6" s="1"/>
  <c r="L22" i="6" s="1"/>
  <c r="G8" i="6"/>
  <c r="H8" i="6" s="1"/>
  <c r="L8" i="6" s="1"/>
  <c r="G56" i="6"/>
  <c r="H56" i="6" s="1"/>
  <c r="L56" i="6" s="1"/>
  <c r="G26" i="6"/>
  <c r="H26" i="6" s="1"/>
  <c r="F63" i="6"/>
  <c r="F37" i="6"/>
  <c r="F16" i="6"/>
  <c r="L24" i="6"/>
  <c r="G19" i="6"/>
  <c r="G50" i="6"/>
  <c r="G34" i="6"/>
  <c r="H34" i="6" s="1"/>
  <c r="G18" i="6"/>
  <c r="H18" i="6" s="1"/>
  <c r="F62" i="6"/>
  <c r="F46" i="6"/>
  <c r="F30" i="6"/>
  <c r="F14" i="6"/>
  <c r="G35" i="6"/>
  <c r="H35" i="6" s="1"/>
  <c r="G48" i="6"/>
  <c r="H48" i="6" s="1"/>
  <c r="G32" i="6"/>
  <c r="H32" i="6" s="1"/>
  <c r="G16" i="6"/>
  <c r="F60" i="6"/>
  <c r="F44" i="6"/>
  <c r="H44" i="6" s="1"/>
  <c r="F28" i="6"/>
  <c r="F12" i="6"/>
  <c r="H12" i="6" s="1"/>
  <c r="G15" i="6"/>
  <c r="H15" i="6" s="1"/>
  <c r="F43" i="6"/>
  <c r="H43" i="6" s="1"/>
  <c r="F11" i="6"/>
  <c r="G4" i="6"/>
  <c r="H4" i="6" s="1"/>
  <c r="L4" i="6" s="1"/>
  <c r="G17" i="6"/>
  <c r="H17" i="6" s="1"/>
  <c r="G47" i="6"/>
  <c r="H47" i="6" s="1"/>
  <c r="F27" i="6"/>
  <c r="G62" i="6"/>
  <c r="G46" i="6"/>
  <c r="G30" i="6"/>
  <c r="G14" i="6"/>
  <c r="F58" i="6"/>
  <c r="H58" i="6" s="1"/>
  <c r="F42" i="6"/>
  <c r="H42" i="6" s="1"/>
  <c r="F26" i="6"/>
  <c r="F10" i="6"/>
  <c r="H10" i="6" s="1"/>
  <c r="G51" i="6"/>
  <c r="H51" i="6" s="1"/>
  <c r="G49" i="6"/>
  <c r="H49" i="6" s="1"/>
  <c r="G33" i="6"/>
  <c r="H33" i="6" s="1"/>
  <c r="G31" i="6"/>
  <c r="H31" i="6" s="1"/>
  <c r="F59" i="6"/>
  <c r="G61" i="6"/>
  <c r="H61" i="6" s="1"/>
  <c r="G45" i="6"/>
  <c r="H45" i="6" s="1"/>
  <c r="G29" i="6"/>
  <c r="H29" i="6" s="1"/>
  <c r="F57" i="6"/>
  <c r="F41" i="6"/>
  <c r="F25" i="6"/>
  <c r="H25" i="6" s="1"/>
  <c r="AA11" i="5"/>
  <c r="Z4" i="5"/>
  <c r="Z5" i="5" s="1"/>
  <c r="Z6" i="5" s="1"/>
  <c r="Z7" i="5" s="1"/>
  <c r="Z8" i="5" s="1"/>
  <c r="Z9" i="5" s="1"/>
  <c r="Z10" i="5" s="1"/>
  <c r="G23" i="5"/>
  <c r="AA8" i="5"/>
  <c r="AA4" i="5"/>
  <c r="AA7" i="5"/>
  <c r="G17" i="5"/>
  <c r="Q18" i="5"/>
  <c r="Q17" i="5"/>
  <c r="Q16" i="5"/>
  <c r="Q15" i="5"/>
  <c r="Q12" i="5"/>
  <c r="Q14" i="5"/>
  <c r="Q13" i="5"/>
  <c r="Q11" i="5"/>
  <c r="F16" i="5"/>
  <c r="Q10" i="5"/>
  <c r="F15" i="5"/>
  <c r="P4" i="5"/>
  <c r="P5" i="5" s="1"/>
  <c r="Q9" i="5"/>
  <c r="F14" i="5"/>
  <c r="Q8" i="5"/>
  <c r="F13" i="5"/>
  <c r="Q4" i="5"/>
  <c r="Q7" i="5"/>
  <c r="F12" i="5"/>
  <c r="Q22" i="5"/>
  <c r="Q6" i="5"/>
  <c r="F11" i="5"/>
  <c r="Q21" i="5"/>
  <c r="Q5" i="5"/>
  <c r="G19" i="5"/>
  <c r="Q20" i="5"/>
  <c r="Q23" i="5"/>
  <c r="G18" i="5"/>
  <c r="Q19" i="5"/>
  <c r="G16" i="5"/>
  <c r="G14" i="5"/>
  <c r="G12" i="5"/>
  <c r="F7" i="5"/>
  <c r="F21" i="5"/>
  <c r="F5" i="5"/>
  <c r="G8" i="5"/>
  <c r="F10" i="5"/>
  <c r="G11" i="5"/>
  <c r="F23" i="5"/>
  <c r="F22" i="5"/>
  <c r="F20" i="5"/>
  <c r="G4" i="5"/>
  <c r="G7" i="5"/>
  <c r="F4" i="5"/>
  <c r="F6" i="5"/>
  <c r="F19" i="5"/>
  <c r="G22" i="5"/>
  <c r="G6" i="5"/>
  <c r="G15" i="5"/>
  <c r="F8" i="5"/>
  <c r="G9" i="5"/>
  <c r="F18" i="5"/>
  <c r="G21" i="5"/>
  <c r="G5" i="5"/>
  <c r="G13" i="5"/>
  <c r="F9" i="5"/>
  <c r="G10" i="5"/>
  <c r="G20" i="5"/>
  <c r="G61" i="9"/>
  <c r="H61" i="9" s="1"/>
  <c r="G5" i="9"/>
  <c r="H5" i="9" s="1"/>
  <c r="G59" i="9"/>
  <c r="H59" i="9" s="1"/>
  <c r="G27" i="9"/>
  <c r="G19" i="9"/>
  <c r="G48" i="9"/>
  <c r="G46" i="9"/>
  <c r="G11" i="9"/>
  <c r="H11" i="9" s="1"/>
  <c r="G40" i="9"/>
  <c r="G7" i="9"/>
  <c r="G57" i="9"/>
  <c r="G25" i="9"/>
  <c r="G24" i="9"/>
  <c r="G49" i="9"/>
  <c r="G43" i="9"/>
  <c r="G9" i="9"/>
  <c r="G38" i="9"/>
  <c r="G56" i="9"/>
  <c r="H56" i="9" s="1"/>
  <c r="G33" i="9"/>
  <c r="G30" i="9"/>
  <c r="G54" i="9"/>
  <c r="G22" i="9"/>
  <c r="G51" i="9"/>
  <c r="G17" i="9"/>
  <c r="G15" i="9"/>
  <c r="G13" i="9"/>
  <c r="G41" i="9"/>
  <c r="G35" i="9"/>
  <c r="G32" i="9"/>
  <c r="H32" i="9" s="1"/>
  <c r="G4" i="9"/>
  <c r="G62" i="9"/>
  <c r="H62" i="9" s="1"/>
  <c r="G23" i="9"/>
  <c r="H23" i="9" s="1"/>
  <c r="G55" i="9"/>
  <c r="H55" i="9" s="1"/>
  <c r="G12" i="9"/>
  <c r="H12" i="9" s="1"/>
  <c r="G14" i="9"/>
  <c r="H14" i="9" s="1"/>
  <c r="G16" i="9"/>
  <c r="H16" i="9" s="1"/>
  <c r="G18" i="9"/>
  <c r="H18" i="9" s="1"/>
  <c r="G26" i="9"/>
  <c r="H26" i="9" s="1"/>
  <c r="G34" i="9"/>
  <c r="H34" i="9" s="1"/>
  <c r="G42" i="9"/>
  <c r="H42" i="9" s="1"/>
  <c r="G50" i="9"/>
  <c r="H50" i="9" s="1"/>
  <c r="G58" i="9"/>
  <c r="H58" i="9" s="1"/>
  <c r="G8" i="9"/>
  <c r="H8" i="9" s="1"/>
  <c r="G31" i="9"/>
  <c r="H31" i="9" s="1"/>
  <c r="G6" i="9"/>
  <c r="H6" i="9" s="1"/>
  <c r="G28" i="9"/>
  <c r="H28" i="9" s="1"/>
  <c r="G36" i="9"/>
  <c r="H36" i="9" s="1"/>
  <c r="G44" i="9"/>
  <c r="H44" i="9" s="1"/>
  <c r="G52" i="9"/>
  <c r="H52" i="9" s="1"/>
  <c r="G39" i="9"/>
  <c r="H39" i="9" s="1"/>
  <c r="G47" i="9"/>
  <c r="H47" i="9" s="1"/>
  <c r="G3" i="9"/>
  <c r="H3" i="9" s="1"/>
  <c r="G21" i="9"/>
  <c r="H21" i="9" s="1"/>
  <c r="G29" i="9"/>
  <c r="H29" i="9" s="1"/>
  <c r="G37" i="9"/>
  <c r="H37" i="9" s="1"/>
  <c r="G45" i="9"/>
  <c r="H45" i="9" s="1"/>
  <c r="G53" i="9"/>
  <c r="H53" i="9" s="1"/>
  <c r="G20" i="9"/>
  <c r="H20" i="9" s="1"/>
  <c r="G10" i="9"/>
  <c r="H10" i="9" s="1"/>
  <c r="G14" i="8"/>
  <c r="H14" i="8" s="1"/>
  <c r="K14" i="8" s="1"/>
  <c r="G12" i="8"/>
  <c r="H12" i="8" s="1"/>
  <c r="K12" i="8" s="1"/>
  <c r="G21" i="8"/>
  <c r="H21" i="8" s="1"/>
  <c r="K21" i="8" s="1"/>
  <c r="G4" i="8"/>
  <c r="H4" i="8" s="1"/>
  <c r="K4" i="8" s="1"/>
  <c r="G17" i="8"/>
  <c r="H17" i="8" s="1"/>
  <c r="K17" i="8" s="1"/>
  <c r="G15" i="8"/>
  <c r="H15" i="8" s="1"/>
  <c r="K15" i="8" s="1"/>
  <c r="G13" i="8"/>
  <c r="H13" i="8" s="1"/>
  <c r="K13" i="8" s="1"/>
  <c r="G19" i="8"/>
  <c r="H19" i="8" s="1"/>
  <c r="K19" i="8" s="1"/>
  <c r="G10" i="8"/>
  <c r="H10" i="8" s="1"/>
  <c r="K10" i="8" s="1"/>
  <c r="G8" i="8"/>
  <c r="H8" i="8" s="1"/>
  <c r="K8" i="8" s="1"/>
  <c r="G6" i="8"/>
  <c r="H6" i="8" s="1"/>
  <c r="K6" i="8" s="1"/>
  <c r="G5" i="8"/>
  <c r="H5" i="8" s="1"/>
  <c r="K5" i="8" s="1"/>
  <c r="G20" i="8"/>
  <c r="H20" i="8" s="1"/>
  <c r="K20" i="8" s="1"/>
  <c r="G11" i="8"/>
  <c r="H11" i="8" s="1"/>
  <c r="K11" i="8" s="1"/>
  <c r="G9" i="8"/>
  <c r="H9" i="8" s="1"/>
  <c r="K9" i="8" s="1"/>
  <c r="G7" i="8"/>
  <c r="H7" i="8" s="1"/>
  <c r="K7" i="8" s="1"/>
  <c r="G18" i="8"/>
  <c r="H18" i="8" s="1"/>
  <c r="K18" i="8" s="1"/>
  <c r="G16" i="8"/>
  <c r="H16" i="8" s="1"/>
  <c r="K16" i="8" s="1"/>
  <c r="G22" i="8"/>
  <c r="H22" i="8" s="1"/>
  <c r="K22" i="8" s="1"/>
  <c r="N18" i="1"/>
  <c r="N19" i="1"/>
  <c r="N20" i="1"/>
  <c r="N21" i="1"/>
  <c r="N22" i="1"/>
  <c r="N23" i="1"/>
  <c r="N24" i="1"/>
  <c r="N25" i="1"/>
  <c r="N17" i="1"/>
  <c r="L19" i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K18" i="1"/>
  <c r="L18" i="1" s="1"/>
  <c r="K17" i="1"/>
  <c r="L17" i="1" s="1"/>
  <c r="N5" i="1"/>
  <c r="N6" i="1"/>
  <c r="N7" i="1"/>
  <c r="N8" i="1"/>
  <c r="N9" i="1"/>
  <c r="N10" i="1"/>
  <c r="N11" i="1"/>
  <c r="N12" i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4" i="1"/>
  <c r="AB6" i="5" l="1"/>
  <c r="AB5" i="5"/>
  <c r="AB9" i="5"/>
  <c r="AB7" i="5"/>
  <c r="AB4" i="5"/>
  <c r="AB8" i="5"/>
  <c r="H50" i="6"/>
  <c r="H28" i="6"/>
  <c r="H40" i="6"/>
  <c r="L40" i="6" s="1"/>
  <c r="H7" i="6"/>
  <c r="L7" i="6" s="1"/>
  <c r="H37" i="6"/>
  <c r="L37" i="6" s="1"/>
  <c r="H60" i="6"/>
  <c r="H16" i="6"/>
  <c r="L16" i="6" s="1"/>
  <c r="H30" i="6"/>
  <c r="H19" i="6"/>
  <c r="H57" i="6"/>
  <c r="L57" i="6" s="1"/>
  <c r="H63" i="6"/>
  <c r="L63" i="6" s="1"/>
  <c r="H59" i="6"/>
  <c r="L59" i="6" s="1"/>
  <c r="H11" i="6"/>
  <c r="L60" i="6"/>
  <c r="L11" i="6"/>
  <c r="L25" i="6"/>
  <c r="L43" i="6"/>
  <c r="L26" i="6"/>
  <c r="L41" i="6"/>
  <c r="L28" i="6"/>
  <c r="L31" i="6"/>
  <c r="L12" i="6"/>
  <c r="L47" i="6"/>
  <c r="L17" i="6"/>
  <c r="L49" i="6"/>
  <c r="L15" i="6"/>
  <c r="L42" i="6"/>
  <c r="L61" i="6"/>
  <c r="L51" i="6"/>
  <c r="L58" i="6"/>
  <c r="L33" i="6"/>
  <c r="L18" i="6"/>
  <c r="L44" i="6"/>
  <c r="L34" i="6"/>
  <c r="L45" i="6"/>
  <c r="H14" i="6"/>
  <c r="L32" i="6"/>
  <c r="L50" i="6"/>
  <c r="L30" i="6"/>
  <c r="L48" i="6"/>
  <c r="L19" i="6"/>
  <c r="L10" i="6"/>
  <c r="H46" i="6"/>
  <c r="K35" i="6"/>
  <c r="L35" i="6"/>
  <c r="L27" i="6"/>
  <c r="H62" i="6"/>
  <c r="L9" i="6"/>
  <c r="L29" i="6"/>
  <c r="Z11" i="5"/>
  <c r="Z12" i="5" s="1"/>
  <c r="AB10" i="5"/>
  <c r="H4" i="5"/>
  <c r="H41" i="9"/>
  <c r="H40" i="9"/>
  <c r="H17" i="9"/>
  <c r="H51" i="9"/>
  <c r="H54" i="9"/>
  <c r="H38" i="9"/>
  <c r="H9" i="9"/>
  <c r="H48" i="9"/>
  <c r="H19" i="9"/>
  <c r="H30" i="9"/>
  <c r="H43" i="9"/>
  <c r="H4" i="9"/>
  <c r="H63" i="9" s="1"/>
  <c r="H49" i="9"/>
  <c r="H57" i="9"/>
  <c r="H7" i="9"/>
  <c r="H15" i="9"/>
  <c r="H46" i="9"/>
  <c r="H22" i="9"/>
  <c r="H27" i="9"/>
  <c r="H33" i="9"/>
  <c r="H24" i="9"/>
  <c r="H13" i="9"/>
  <c r="H35" i="9"/>
  <c r="H25" i="9"/>
  <c r="H23" i="8"/>
  <c r="I10" i="8"/>
  <c r="J10" i="8" s="1"/>
  <c r="R11" i="6"/>
  <c r="V11" i="6" s="1"/>
  <c r="AB50" i="6"/>
  <c r="R7" i="6"/>
  <c r="V7" i="6" s="1"/>
  <c r="AB21" i="6"/>
  <c r="AB24" i="6"/>
  <c r="R10" i="6"/>
  <c r="V10" i="6" s="1"/>
  <c r="AB36" i="6"/>
  <c r="AB23" i="6"/>
  <c r="R9" i="6"/>
  <c r="V9" i="6" s="1"/>
  <c r="AB22" i="6"/>
  <c r="AB35" i="6"/>
  <c r="AE35" i="6" s="1"/>
  <c r="R6" i="6"/>
  <c r="V6" i="6" s="1"/>
  <c r="AB37" i="6"/>
  <c r="AB7" i="6"/>
  <c r="AB20" i="6"/>
  <c r="AB5" i="6"/>
  <c r="AB58" i="6"/>
  <c r="AB55" i="6"/>
  <c r="AB56" i="6"/>
  <c r="AB8" i="6"/>
  <c r="AB29" i="6"/>
  <c r="AB34" i="6"/>
  <c r="AB40" i="6"/>
  <c r="AE40" i="6" s="1"/>
  <c r="AB30" i="6"/>
  <c r="AB44" i="6"/>
  <c r="R8" i="6"/>
  <c r="V8" i="6" s="1"/>
  <c r="AE24" i="6"/>
  <c r="R4" i="5"/>
  <c r="H17" i="5"/>
  <c r="K17" i="5" s="1"/>
  <c r="H10" i="5"/>
  <c r="K10" i="5" s="1"/>
  <c r="V4" i="5" l="1"/>
  <c r="U4" i="5"/>
  <c r="AF9" i="5"/>
  <c r="AE9" i="5"/>
  <c r="AF4" i="5"/>
  <c r="AE4" i="5"/>
  <c r="AF5" i="5"/>
  <c r="AE5" i="5"/>
  <c r="AF10" i="5"/>
  <c r="AE10" i="5"/>
  <c r="AF8" i="5"/>
  <c r="AE8" i="5"/>
  <c r="AF7" i="5"/>
  <c r="AE7" i="5"/>
  <c r="I3" i="8"/>
  <c r="J3" i="8" s="1"/>
  <c r="H26" i="8"/>
  <c r="AF6" i="5"/>
  <c r="AE6" i="5"/>
  <c r="AB48" i="6"/>
  <c r="AB15" i="6"/>
  <c r="AE15" i="6" s="1"/>
  <c r="AB31" i="6"/>
  <c r="AE31" i="6" s="1"/>
  <c r="AB46" i="6"/>
  <c r="L46" i="6"/>
  <c r="AB10" i="6"/>
  <c r="AE10" i="6" s="1"/>
  <c r="AB27" i="6"/>
  <c r="R12" i="6"/>
  <c r="V12" i="6" s="1"/>
  <c r="R5" i="6"/>
  <c r="L62" i="6"/>
  <c r="AB26" i="6"/>
  <c r="AE26" i="6" s="1"/>
  <c r="L14" i="6"/>
  <c r="AB19" i="6"/>
  <c r="AB54" i="6"/>
  <c r="Z13" i="5"/>
  <c r="AB12" i="5"/>
  <c r="AB11" i="5"/>
  <c r="K4" i="5"/>
  <c r="H14" i="5"/>
  <c r="K14" i="5" s="1"/>
  <c r="H23" i="5"/>
  <c r="L23" i="5" s="1"/>
  <c r="H15" i="5"/>
  <c r="K15" i="5" s="1"/>
  <c r="AB16" i="6"/>
  <c r="AB9" i="6"/>
  <c r="AE4" i="6"/>
  <c r="AB39" i="6"/>
  <c r="AB17" i="6"/>
  <c r="AE17" i="6" s="1"/>
  <c r="AB41" i="6"/>
  <c r="AE41" i="6" s="1"/>
  <c r="AB32" i="6"/>
  <c r="AE32" i="6" s="1"/>
  <c r="AE21" i="6"/>
  <c r="K30" i="6"/>
  <c r="AB60" i="6"/>
  <c r="AE36" i="6"/>
  <c r="AE5" i="6"/>
  <c r="K23" i="6"/>
  <c r="AB51" i="6"/>
  <c r="U8" i="6"/>
  <c r="AE22" i="6"/>
  <c r="AB28" i="6"/>
  <c r="AE28" i="6" s="1"/>
  <c r="AB52" i="6"/>
  <c r="K21" i="6"/>
  <c r="AB63" i="6"/>
  <c r="K34" i="6"/>
  <c r="AB38" i="6"/>
  <c r="AB43" i="6"/>
  <c r="AB18" i="6"/>
  <c r="AE18" i="6" s="1"/>
  <c r="K18" i="6"/>
  <c r="AB49" i="6"/>
  <c r="I61" i="9"/>
  <c r="J61" i="9" s="1"/>
  <c r="I60" i="9"/>
  <c r="J60" i="9" s="1"/>
  <c r="I58" i="9"/>
  <c r="J58" i="9" s="1"/>
  <c r="I59" i="9"/>
  <c r="J59" i="9" s="1"/>
  <c r="I62" i="9"/>
  <c r="J62" i="9" s="1"/>
  <c r="I57" i="9"/>
  <c r="I55" i="9"/>
  <c r="J55" i="9" s="1"/>
  <c r="I50" i="9"/>
  <c r="J50" i="9" s="1"/>
  <c r="I18" i="9"/>
  <c r="J18" i="9" s="1"/>
  <c r="I21" i="9"/>
  <c r="J21" i="9" s="1"/>
  <c r="I37" i="9"/>
  <c r="J37" i="9" s="1"/>
  <c r="I39" i="9"/>
  <c r="J39" i="9" s="1"/>
  <c r="I31" i="9"/>
  <c r="J31" i="9" s="1"/>
  <c r="I8" i="9"/>
  <c r="J8" i="9" s="1"/>
  <c r="I29" i="9"/>
  <c r="J29" i="9" s="1"/>
  <c r="I28" i="9"/>
  <c r="J28" i="9" s="1"/>
  <c r="I47" i="9"/>
  <c r="J47" i="9" s="1"/>
  <c r="I45" i="9"/>
  <c r="J45" i="9" s="1"/>
  <c r="I12" i="9"/>
  <c r="J12" i="9" s="1"/>
  <c r="I44" i="9"/>
  <c r="J44" i="9" s="1"/>
  <c r="I14" i="9"/>
  <c r="J14" i="9" s="1"/>
  <c r="I53" i="9"/>
  <c r="J53" i="9" s="1"/>
  <c r="I52" i="9"/>
  <c r="J52" i="9" s="1"/>
  <c r="I6" i="9"/>
  <c r="J6" i="9" s="1"/>
  <c r="I36" i="9"/>
  <c r="J36" i="9" s="1"/>
  <c r="I20" i="9"/>
  <c r="J20" i="9" s="1"/>
  <c r="I10" i="9"/>
  <c r="J10" i="9" s="1"/>
  <c r="I23" i="9"/>
  <c r="J23" i="9" s="1"/>
  <c r="I34" i="9"/>
  <c r="J34" i="9" s="1"/>
  <c r="I26" i="9"/>
  <c r="J26" i="9" s="1"/>
  <c r="I16" i="9"/>
  <c r="J16" i="9" s="1"/>
  <c r="I3" i="9"/>
  <c r="J3" i="9" s="1"/>
  <c r="I42" i="9"/>
  <c r="J42" i="9" s="1"/>
  <c r="C3" i="9"/>
  <c r="I48" i="9"/>
  <c r="J48" i="9" s="1"/>
  <c r="J57" i="9"/>
  <c r="I54" i="9"/>
  <c r="J54" i="9" s="1"/>
  <c r="I22" i="9"/>
  <c r="J22" i="9" s="1"/>
  <c r="I5" i="9"/>
  <c r="J5" i="9" s="1"/>
  <c r="I35" i="9"/>
  <c r="J35" i="9" s="1"/>
  <c r="I27" i="9"/>
  <c r="J27" i="9" s="1"/>
  <c r="I17" i="9"/>
  <c r="J17" i="9" s="1"/>
  <c r="I24" i="9"/>
  <c r="J24" i="9" s="1"/>
  <c r="I19" i="9"/>
  <c r="J19" i="9" s="1"/>
  <c r="I7" i="9"/>
  <c r="J7" i="9" s="1"/>
  <c r="I11" i="9"/>
  <c r="J11" i="9" s="1"/>
  <c r="I49" i="9"/>
  <c r="J49" i="9" s="1"/>
  <c r="I38" i="9"/>
  <c r="J38" i="9" s="1"/>
  <c r="I25" i="9"/>
  <c r="J25" i="9" s="1"/>
  <c r="I15" i="9"/>
  <c r="J15" i="9" s="1"/>
  <c r="I9" i="9"/>
  <c r="J9" i="9" s="1"/>
  <c r="I56" i="9"/>
  <c r="J56" i="9" s="1"/>
  <c r="I40" i="9"/>
  <c r="J40" i="9" s="1"/>
  <c r="I13" i="9"/>
  <c r="J13" i="9" s="1"/>
  <c r="I32" i="9"/>
  <c r="J32" i="9" s="1"/>
  <c r="I51" i="9"/>
  <c r="J51" i="9" s="1"/>
  <c r="I41" i="9"/>
  <c r="J41" i="9" s="1"/>
  <c r="I46" i="9"/>
  <c r="J46" i="9" s="1"/>
  <c r="I33" i="9"/>
  <c r="J33" i="9" s="1"/>
  <c r="I4" i="9"/>
  <c r="J4" i="9" s="1"/>
  <c r="I43" i="9"/>
  <c r="J43" i="9" s="1"/>
  <c r="I30" i="9"/>
  <c r="J30" i="9" s="1"/>
  <c r="I7" i="8"/>
  <c r="J7" i="8" s="1"/>
  <c r="I5" i="8"/>
  <c r="J5" i="8" s="1"/>
  <c r="I18" i="8"/>
  <c r="J18" i="8" s="1"/>
  <c r="I14" i="8"/>
  <c r="J14" i="8" s="1"/>
  <c r="I19" i="8"/>
  <c r="J19" i="8" s="1"/>
  <c r="I12" i="8"/>
  <c r="J12" i="8" s="1"/>
  <c r="I9" i="8"/>
  <c r="J9" i="8" s="1"/>
  <c r="I11" i="8"/>
  <c r="J11" i="8" s="1"/>
  <c r="I17" i="8"/>
  <c r="J17" i="8" s="1"/>
  <c r="I21" i="8"/>
  <c r="J21" i="8" s="1"/>
  <c r="I15" i="8"/>
  <c r="J15" i="8" s="1"/>
  <c r="I6" i="8"/>
  <c r="J6" i="8" s="1"/>
  <c r="I22" i="8"/>
  <c r="J22" i="8" s="1"/>
  <c r="I20" i="8"/>
  <c r="J20" i="8" s="1"/>
  <c r="I13" i="8"/>
  <c r="J13" i="8" s="1"/>
  <c r="I4" i="8"/>
  <c r="J4" i="8" s="1"/>
  <c r="C3" i="8"/>
  <c r="I16" i="8"/>
  <c r="J16" i="8" s="1"/>
  <c r="K23" i="8"/>
  <c r="C13" i="8" s="1"/>
  <c r="I8" i="8"/>
  <c r="J8" i="8" s="1"/>
  <c r="H8" i="5"/>
  <c r="K8" i="5" s="1"/>
  <c r="H9" i="5"/>
  <c r="K9" i="5" s="1"/>
  <c r="H7" i="5"/>
  <c r="AE8" i="6"/>
  <c r="K26" i="6"/>
  <c r="K6" i="6"/>
  <c r="K31" i="6"/>
  <c r="K20" i="6"/>
  <c r="AE34" i="6"/>
  <c r="AB53" i="6"/>
  <c r="K32" i="6"/>
  <c r="AB62" i="6"/>
  <c r="AB11" i="6"/>
  <c r="AE7" i="6"/>
  <c r="K16" i="6"/>
  <c r="K19" i="6"/>
  <c r="K5" i="6"/>
  <c r="AB14" i="6"/>
  <c r="AB33" i="6"/>
  <c r="K24" i="6"/>
  <c r="K22" i="6"/>
  <c r="AE37" i="6"/>
  <c r="K28" i="6"/>
  <c r="U10" i="6"/>
  <c r="AE20" i="6"/>
  <c r="AE30" i="6"/>
  <c r="AB47" i="6"/>
  <c r="AB12" i="6"/>
  <c r="AB13" i="6"/>
  <c r="U6" i="6"/>
  <c r="AB42" i="6"/>
  <c r="AB57" i="6"/>
  <c r="AB6" i="6"/>
  <c r="AB61" i="6"/>
  <c r="AB25" i="6"/>
  <c r="K25" i="6"/>
  <c r="AE23" i="6"/>
  <c r="AB59" i="6"/>
  <c r="AB45" i="6"/>
  <c r="AE16" i="6"/>
  <c r="AE29" i="6"/>
  <c r="AE27" i="6"/>
  <c r="U7" i="6"/>
  <c r="U9" i="6"/>
  <c r="R13" i="6"/>
  <c r="V13" i="6" s="1"/>
  <c r="U11" i="6"/>
  <c r="P6" i="5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R23" i="5" s="1"/>
  <c r="V23" i="5" s="1"/>
  <c r="R5" i="5"/>
  <c r="U5" i="5" s="1"/>
  <c r="H21" i="5"/>
  <c r="L21" i="5" s="1"/>
  <c r="H20" i="5"/>
  <c r="H16" i="5"/>
  <c r="K16" i="5" s="1"/>
  <c r="H22" i="5"/>
  <c r="L22" i="5" s="1"/>
  <c r="H5" i="5"/>
  <c r="H19" i="5"/>
  <c r="K19" i="5" s="1"/>
  <c r="H18" i="5"/>
  <c r="K18" i="5" s="1"/>
  <c r="H11" i="5"/>
  <c r="K11" i="5" s="1"/>
  <c r="H6" i="5"/>
  <c r="L17" i="5"/>
  <c r="L10" i="5"/>
  <c r="L14" i="5"/>
  <c r="C4" i="5" l="1"/>
  <c r="C3" i="1"/>
  <c r="AF11" i="5"/>
  <c r="AE11" i="5"/>
  <c r="AF12" i="5"/>
  <c r="AE12" i="5"/>
  <c r="U5" i="6"/>
  <c r="V5" i="6"/>
  <c r="U12" i="6"/>
  <c r="AE19" i="6"/>
  <c r="AE9" i="6"/>
  <c r="L15" i="5"/>
  <c r="V5" i="5"/>
  <c r="Z14" i="5"/>
  <c r="AB13" i="5"/>
  <c r="L6" i="5"/>
  <c r="K6" i="5"/>
  <c r="L7" i="5"/>
  <c r="K7" i="5"/>
  <c r="L20" i="5"/>
  <c r="K20" i="5"/>
  <c r="L5" i="5"/>
  <c r="K5" i="5"/>
  <c r="L8" i="5"/>
  <c r="R6" i="5"/>
  <c r="U6" i="5" s="1"/>
  <c r="R16" i="5"/>
  <c r="U16" i="5" s="1"/>
  <c r="R8" i="5"/>
  <c r="U8" i="5" s="1"/>
  <c r="L4" i="5"/>
  <c r="L9" i="5"/>
  <c r="H64" i="6"/>
  <c r="AE39" i="6"/>
  <c r="U4" i="6"/>
  <c r="K4" i="6"/>
  <c r="AE38" i="6"/>
  <c r="K12" i="6"/>
  <c r="C12" i="9"/>
  <c r="Q9" i="9" s="1"/>
  <c r="J23" i="8"/>
  <c r="R10" i="5"/>
  <c r="U10" i="5" s="1"/>
  <c r="R9" i="5"/>
  <c r="U9" i="5" s="1"/>
  <c r="R13" i="5"/>
  <c r="U13" i="5" s="1"/>
  <c r="R11" i="5"/>
  <c r="U11" i="5" s="1"/>
  <c r="R21" i="5"/>
  <c r="V21" i="5" s="1"/>
  <c r="R19" i="5"/>
  <c r="U19" i="5" s="1"/>
  <c r="R14" i="5"/>
  <c r="U14" i="5" s="1"/>
  <c r="R18" i="5"/>
  <c r="U18" i="5" s="1"/>
  <c r="R22" i="5"/>
  <c r="V22" i="5" s="1"/>
  <c r="R15" i="5"/>
  <c r="U15" i="5" s="1"/>
  <c r="R17" i="5"/>
  <c r="U17" i="5" s="1"/>
  <c r="R7" i="5"/>
  <c r="U7" i="5" s="1"/>
  <c r="R12" i="5"/>
  <c r="U12" i="5" s="1"/>
  <c r="R20" i="5"/>
  <c r="V20" i="5" s="1"/>
  <c r="K33" i="6"/>
  <c r="K15" i="6"/>
  <c r="AF64" i="6"/>
  <c r="AE6" i="6"/>
  <c r="K8" i="6"/>
  <c r="AE13" i="6"/>
  <c r="K11" i="6"/>
  <c r="K9" i="6"/>
  <c r="AE12" i="6"/>
  <c r="AE11" i="6"/>
  <c r="K14" i="6"/>
  <c r="AB64" i="6"/>
  <c r="AC62" i="6" s="1"/>
  <c r="AD62" i="6" s="1"/>
  <c r="AE14" i="6"/>
  <c r="K7" i="6"/>
  <c r="K29" i="6"/>
  <c r="AE33" i="6"/>
  <c r="AE42" i="6"/>
  <c r="K27" i="6"/>
  <c r="K17" i="6"/>
  <c r="AE25" i="6"/>
  <c r="K10" i="6"/>
  <c r="K13" i="6"/>
  <c r="U13" i="6"/>
  <c r="R14" i="6"/>
  <c r="V14" i="6" s="1"/>
  <c r="L19" i="5"/>
  <c r="L16" i="5"/>
  <c r="L18" i="5"/>
  <c r="L11" i="5"/>
  <c r="AF13" i="5" l="1"/>
  <c r="AE13" i="5"/>
  <c r="K64" i="6"/>
  <c r="I52" i="6"/>
  <c r="I5" i="6"/>
  <c r="I23" i="6"/>
  <c r="I63" i="6"/>
  <c r="J63" i="6" s="1"/>
  <c r="I56" i="6"/>
  <c r="J56" i="6" s="1"/>
  <c r="I53" i="6"/>
  <c r="J53" i="6" s="1"/>
  <c r="I37" i="6"/>
  <c r="J37" i="6" s="1"/>
  <c r="I40" i="6"/>
  <c r="J40" i="6" s="1"/>
  <c r="I8" i="6"/>
  <c r="J8" i="6" s="1"/>
  <c r="I55" i="6"/>
  <c r="J55" i="6" s="1"/>
  <c r="I38" i="6"/>
  <c r="J38" i="6" s="1"/>
  <c r="I36" i="6"/>
  <c r="J36" i="6" s="1"/>
  <c r="I54" i="6"/>
  <c r="J54" i="6" s="1"/>
  <c r="I24" i="6"/>
  <c r="J24" i="6" s="1"/>
  <c r="I7" i="6"/>
  <c r="J7" i="6" s="1"/>
  <c r="I6" i="6"/>
  <c r="I13" i="6"/>
  <c r="J13" i="6" s="1"/>
  <c r="I22" i="6"/>
  <c r="I21" i="6"/>
  <c r="J21" i="6" s="1"/>
  <c r="I39" i="6"/>
  <c r="J39" i="6" s="1"/>
  <c r="I20" i="6"/>
  <c r="J20" i="6" s="1"/>
  <c r="I28" i="6"/>
  <c r="J28" i="6" s="1"/>
  <c r="I61" i="6"/>
  <c r="J61" i="6" s="1"/>
  <c r="I60" i="6"/>
  <c r="J60" i="6" s="1"/>
  <c r="I45" i="6"/>
  <c r="J45" i="6" s="1"/>
  <c r="I35" i="6"/>
  <c r="J35" i="6" s="1"/>
  <c r="I41" i="6"/>
  <c r="J41" i="6" s="1"/>
  <c r="I11" i="6"/>
  <c r="J11" i="6" s="1"/>
  <c r="I31" i="6"/>
  <c r="J31" i="6" s="1"/>
  <c r="I51" i="6"/>
  <c r="J51" i="6" s="1"/>
  <c r="I27" i="6"/>
  <c r="J27" i="6" s="1"/>
  <c r="I25" i="6"/>
  <c r="I12" i="6"/>
  <c r="J12" i="6" s="1"/>
  <c r="I32" i="6"/>
  <c r="J32" i="6" s="1"/>
  <c r="I58" i="6"/>
  <c r="J58" i="6" s="1"/>
  <c r="I50" i="6"/>
  <c r="J50" i="6" s="1"/>
  <c r="I47" i="6"/>
  <c r="J47" i="6" s="1"/>
  <c r="I33" i="6"/>
  <c r="J33" i="6" s="1"/>
  <c r="I57" i="6"/>
  <c r="J57" i="6" s="1"/>
  <c r="I9" i="6"/>
  <c r="J9" i="6" s="1"/>
  <c r="I59" i="6"/>
  <c r="J59" i="6" s="1"/>
  <c r="I17" i="6"/>
  <c r="J17" i="6" s="1"/>
  <c r="I18" i="6"/>
  <c r="J18" i="6" s="1"/>
  <c r="I30" i="6"/>
  <c r="J30" i="6" s="1"/>
  <c r="I29" i="6"/>
  <c r="J29" i="6" s="1"/>
  <c r="I43" i="6"/>
  <c r="I49" i="6"/>
  <c r="J49" i="6" s="1"/>
  <c r="I44" i="6"/>
  <c r="J44" i="6" s="1"/>
  <c r="I48" i="6"/>
  <c r="I19" i="6"/>
  <c r="J19" i="6" s="1"/>
  <c r="I15" i="6"/>
  <c r="J15" i="6" s="1"/>
  <c r="I26" i="6"/>
  <c r="J26" i="6" s="1"/>
  <c r="I16" i="6"/>
  <c r="J16" i="6" s="1"/>
  <c r="I10" i="6"/>
  <c r="J10" i="6" s="1"/>
  <c r="I42" i="6"/>
  <c r="J42" i="6" s="1"/>
  <c r="I34" i="6"/>
  <c r="J34" i="6" s="1"/>
  <c r="I46" i="6"/>
  <c r="J46" i="6" s="1"/>
  <c r="I62" i="6"/>
  <c r="J62" i="6" s="1"/>
  <c r="I14" i="6"/>
  <c r="J14" i="6" s="1"/>
  <c r="V19" i="5"/>
  <c r="V13" i="5"/>
  <c r="V11" i="5"/>
  <c r="V9" i="5"/>
  <c r="V10" i="5"/>
  <c r="Z15" i="5"/>
  <c r="AB14" i="5"/>
  <c r="V6" i="5"/>
  <c r="U24" i="5"/>
  <c r="V18" i="5"/>
  <c r="V8" i="5"/>
  <c r="V12" i="5"/>
  <c r="V16" i="5"/>
  <c r="V7" i="5"/>
  <c r="V17" i="5"/>
  <c r="V14" i="5"/>
  <c r="V15" i="5"/>
  <c r="R24" i="5"/>
  <c r="S12" i="5" s="1"/>
  <c r="J5" i="6"/>
  <c r="J6" i="6"/>
  <c r="J52" i="6"/>
  <c r="J22" i="6"/>
  <c r="J23" i="6"/>
  <c r="J43" i="6"/>
  <c r="E24" i="1"/>
  <c r="I4" i="6"/>
  <c r="J4" i="6" s="1"/>
  <c r="J25" i="6"/>
  <c r="J48" i="6"/>
  <c r="AC11" i="6"/>
  <c r="AD11" i="6" s="1"/>
  <c r="L64" i="6"/>
  <c r="F68" i="6" s="1"/>
  <c r="AC6" i="6"/>
  <c r="AD6" i="6" s="1"/>
  <c r="AC59" i="6"/>
  <c r="AD59" i="6" s="1"/>
  <c r="C11" i="8"/>
  <c r="C12" i="8" s="1"/>
  <c r="P13" i="9"/>
  <c r="P11" i="9"/>
  <c r="P9" i="9"/>
  <c r="P14" i="9"/>
  <c r="Q17" i="9"/>
  <c r="Q4" i="9"/>
  <c r="P3" i="9"/>
  <c r="P7" i="9"/>
  <c r="P16" i="9"/>
  <c r="Q11" i="9"/>
  <c r="Q8" i="9"/>
  <c r="P5" i="9"/>
  <c r="P15" i="9"/>
  <c r="P6" i="9"/>
  <c r="Q12" i="9"/>
  <c r="P17" i="9"/>
  <c r="Q10" i="9"/>
  <c r="Q15" i="9"/>
  <c r="Q3" i="9"/>
  <c r="Q5" i="9"/>
  <c r="Q7" i="9"/>
  <c r="Q16" i="9"/>
  <c r="P10" i="9"/>
  <c r="Q13" i="9"/>
  <c r="P12" i="9"/>
  <c r="Q6" i="9"/>
  <c r="P8" i="9"/>
  <c r="Q14" i="9"/>
  <c r="P4" i="9"/>
  <c r="AC14" i="6"/>
  <c r="AD14" i="6" s="1"/>
  <c r="AC49" i="6"/>
  <c r="AD49" i="6" s="1"/>
  <c r="AC43" i="6"/>
  <c r="AD43" i="6" s="1"/>
  <c r="AC51" i="6"/>
  <c r="AD51" i="6" s="1"/>
  <c r="AC21" i="6"/>
  <c r="AD21" i="6" s="1"/>
  <c r="AC9" i="6"/>
  <c r="AD9" i="6" s="1"/>
  <c r="AC26" i="6"/>
  <c r="AD26" i="6" s="1"/>
  <c r="AC24" i="6"/>
  <c r="AD24" i="6" s="1"/>
  <c r="AC29" i="6"/>
  <c r="AD29" i="6" s="1"/>
  <c r="AC25" i="6"/>
  <c r="AD25" i="6" s="1"/>
  <c r="AC35" i="6"/>
  <c r="AD35" i="6" s="1"/>
  <c r="AC53" i="6"/>
  <c r="AD53" i="6" s="1"/>
  <c r="AC20" i="6"/>
  <c r="AD20" i="6" s="1"/>
  <c r="AC52" i="6"/>
  <c r="AD52" i="6" s="1"/>
  <c r="AC55" i="6"/>
  <c r="AD55" i="6" s="1"/>
  <c r="AC16" i="6"/>
  <c r="AD16" i="6" s="1"/>
  <c r="AC38" i="6"/>
  <c r="AD38" i="6" s="1"/>
  <c r="AC28" i="6"/>
  <c r="AD28" i="6" s="1"/>
  <c r="AC23" i="6"/>
  <c r="AD23" i="6" s="1"/>
  <c r="AC60" i="6"/>
  <c r="AD60" i="6" s="1"/>
  <c r="AC36" i="6"/>
  <c r="AD36" i="6" s="1"/>
  <c r="AC10" i="6"/>
  <c r="AD10" i="6" s="1"/>
  <c r="AC5" i="6"/>
  <c r="AD5" i="6" s="1"/>
  <c r="AC19" i="6"/>
  <c r="AD19" i="6" s="1"/>
  <c r="AC27" i="6"/>
  <c r="AD27" i="6" s="1"/>
  <c r="AC31" i="6"/>
  <c r="AD31" i="6" s="1"/>
  <c r="AC22" i="6"/>
  <c r="AD22" i="6" s="1"/>
  <c r="AC8" i="6"/>
  <c r="AD8" i="6" s="1"/>
  <c r="AC58" i="6"/>
  <c r="AD58" i="6" s="1"/>
  <c r="AC34" i="6"/>
  <c r="AD34" i="6" s="1"/>
  <c r="AC42" i="6"/>
  <c r="AD42" i="6" s="1"/>
  <c r="AC50" i="6"/>
  <c r="AD50" i="6" s="1"/>
  <c r="AC32" i="6"/>
  <c r="AD32" i="6" s="1"/>
  <c r="AC37" i="6"/>
  <c r="AD37" i="6" s="1"/>
  <c r="AC17" i="6"/>
  <c r="AD17" i="6" s="1"/>
  <c r="AC18" i="6"/>
  <c r="AD18" i="6" s="1"/>
  <c r="AC54" i="6"/>
  <c r="AD54" i="6" s="1"/>
  <c r="AC45" i="6"/>
  <c r="AD45" i="6" s="1"/>
  <c r="AC41" i="6"/>
  <c r="AD41" i="6" s="1"/>
  <c r="AC56" i="6"/>
  <c r="AD56" i="6" s="1"/>
  <c r="AC44" i="6"/>
  <c r="AD44" i="6" s="1"/>
  <c r="AC30" i="6"/>
  <c r="AD30" i="6" s="1"/>
  <c r="AC46" i="6"/>
  <c r="AD46" i="6" s="1"/>
  <c r="AC48" i="6"/>
  <c r="AD48" i="6" s="1"/>
  <c r="AC7" i="6"/>
  <c r="AD7" i="6" s="1"/>
  <c r="AC47" i="6"/>
  <c r="AD47" i="6" s="1"/>
  <c r="AC61" i="6"/>
  <c r="AD61" i="6" s="1"/>
  <c r="AC15" i="6"/>
  <c r="AD15" i="6" s="1"/>
  <c r="AC39" i="6"/>
  <c r="AD39" i="6" s="1"/>
  <c r="AC40" i="6"/>
  <c r="AD40" i="6" s="1"/>
  <c r="AC63" i="6"/>
  <c r="AD63" i="6" s="1"/>
  <c r="AC13" i="6"/>
  <c r="AD13" i="6" s="1"/>
  <c r="AC57" i="6"/>
  <c r="AD57" i="6" s="1"/>
  <c r="AC12" i="6"/>
  <c r="AD12" i="6" s="1"/>
  <c r="AC33" i="6"/>
  <c r="AD33" i="6" s="1"/>
  <c r="U14" i="6"/>
  <c r="R15" i="6"/>
  <c r="V15" i="6" s="1"/>
  <c r="AF14" i="5" l="1"/>
  <c r="AE14" i="5"/>
  <c r="C24" i="1"/>
  <c r="Z16" i="5"/>
  <c r="AB15" i="5"/>
  <c r="S4" i="5"/>
  <c r="S11" i="5"/>
  <c r="S8" i="5"/>
  <c r="S20" i="5"/>
  <c r="S23" i="5"/>
  <c r="S5" i="5"/>
  <c r="S15" i="5"/>
  <c r="S16" i="5"/>
  <c r="S17" i="5"/>
  <c r="S13" i="5"/>
  <c r="S21" i="5"/>
  <c r="S19" i="5"/>
  <c r="S18" i="5"/>
  <c r="S9" i="5"/>
  <c r="S6" i="5"/>
  <c r="S22" i="5"/>
  <c r="S10" i="5"/>
  <c r="S14" i="5"/>
  <c r="S7" i="5"/>
  <c r="V24" i="5"/>
  <c r="J64" i="6"/>
  <c r="Q16" i="8"/>
  <c r="P6" i="8"/>
  <c r="P3" i="8"/>
  <c r="P14" i="8"/>
  <c r="P7" i="8"/>
  <c r="P4" i="8"/>
  <c r="P16" i="8"/>
  <c r="Q6" i="8"/>
  <c r="Q17" i="8"/>
  <c r="Q15" i="8"/>
  <c r="Q3" i="8"/>
  <c r="Q13" i="8"/>
  <c r="Q14" i="8"/>
  <c r="P12" i="8"/>
  <c r="P8" i="8"/>
  <c r="Q4" i="8"/>
  <c r="P17" i="8"/>
  <c r="Q10" i="8"/>
  <c r="P11" i="8"/>
  <c r="P13" i="8"/>
  <c r="Q7" i="8"/>
  <c r="P9" i="8"/>
  <c r="P15" i="8"/>
  <c r="Q9" i="8"/>
  <c r="P5" i="8"/>
  <c r="Q8" i="8"/>
  <c r="Q5" i="8"/>
  <c r="Q11" i="8"/>
  <c r="Q12" i="8"/>
  <c r="AD64" i="6"/>
  <c r="U15" i="6"/>
  <c r="R16" i="6"/>
  <c r="V16" i="6" s="1"/>
  <c r="AF15" i="5" l="1"/>
  <c r="AE15" i="5"/>
  <c r="F66" i="6"/>
  <c r="C14" i="1" s="1"/>
  <c r="P28" i="5"/>
  <c r="D23" i="1" s="1"/>
  <c r="Z17" i="5"/>
  <c r="AB16" i="5"/>
  <c r="E14" i="1"/>
  <c r="U16" i="6"/>
  <c r="R17" i="6"/>
  <c r="V17" i="6" s="1"/>
  <c r="AF16" i="5" l="1"/>
  <c r="AE16" i="5"/>
  <c r="F67" i="6"/>
  <c r="Z18" i="5"/>
  <c r="AB17" i="5"/>
  <c r="Z67" i="6"/>
  <c r="U17" i="6"/>
  <c r="R18" i="6"/>
  <c r="V18" i="6" s="1"/>
  <c r="AF17" i="5" l="1"/>
  <c r="AE17" i="5"/>
  <c r="F69" i="6"/>
  <c r="C29" i="1" s="1"/>
  <c r="C19" i="1"/>
  <c r="Z19" i="5"/>
  <c r="AB18" i="5"/>
  <c r="Z69" i="6"/>
  <c r="E29" i="1" s="1"/>
  <c r="E19" i="1"/>
  <c r="R19" i="6"/>
  <c r="V19" i="6" s="1"/>
  <c r="U18" i="6"/>
  <c r="AF18" i="5" l="1"/>
  <c r="AE18" i="5"/>
  <c r="P25" i="1"/>
  <c r="R25" i="1" s="1"/>
  <c r="P19" i="1"/>
  <c r="R19" i="1" s="1"/>
  <c r="P22" i="1"/>
  <c r="R22" i="1" s="1"/>
  <c r="P20" i="1"/>
  <c r="R20" i="1" s="1"/>
  <c r="P17" i="1"/>
  <c r="R17" i="1" s="1"/>
  <c r="P21" i="1"/>
  <c r="R21" i="1" s="1"/>
  <c r="P24" i="1"/>
  <c r="R24" i="1" s="1"/>
  <c r="P18" i="1"/>
  <c r="R18" i="1" s="1"/>
  <c r="P23" i="1"/>
  <c r="R23" i="1" s="1"/>
  <c r="O18" i="1"/>
  <c r="Q18" i="1" s="1"/>
  <c r="O20" i="1"/>
  <c r="Q20" i="1" s="1"/>
  <c r="O23" i="1"/>
  <c r="Q23" i="1" s="1"/>
  <c r="O21" i="1"/>
  <c r="Q21" i="1" s="1"/>
  <c r="O19" i="1"/>
  <c r="Q19" i="1" s="1"/>
  <c r="O17" i="1"/>
  <c r="Q17" i="1" s="1"/>
  <c r="O25" i="1"/>
  <c r="Q25" i="1" s="1"/>
  <c r="O22" i="1"/>
  <c r="Q22" i="1" s="1"/>
  <c r="O24" i="1"/>
  <c r="Q24" i="1" s="1"/>
  <c r="Z20" i="5"/>
  <c r="AB19" i="5"/>
  <c r="R20" i="6"/>
  <c r="V20" i="6" s="1"/>
  <c r="U19" i="6"/>
  <c r="AF19" i="5" l="1"/>
  <c r="AE19" i="5"/>
  <c r="Z21" i="5"/>
  <c r="AB20" i="5"/>
  <c r="AE20" i="5" s="1"/>
  <c r="AE24" i="5" s="1"/>
  <c r="U20" i="6"/>
  <c r="R21" i="6"/>
  <c r="V21" i="6" s="1"/>
  <c r="AF20" i="5" l="1"/>
  <c r="Z22" i="5"/>
  <c r="AB21" i="5"/>
  <c r="AF21" i="5" s="1"/>
  <c r="U21" i="6"/>
  <c r="R22" i="6"/>
  <c r="V22" i="6" s="1"/>
  <c r="Z23" i="5" l="1"/>
  <c r="AB23" i="5" s="1"/>
  <c r="AF23" i="5" s="1"/>
  <c r="AB22" i="5"/>
  <c r="AF22" i="5" s="1"/>
  <c r="U22" i="6"/>
  <c r="R23" i="6"/>
  <c r="V23" i="6" s="1"/>
  <c r="AF24" i="5" l="1"/>
  <c r="U23" i="6"/>
  <c r="R24" i="6"/>
  <c r="V24" i="6" s="1"/>
  <c r="U24" i="6" l="1"/>
  <c r="R25" i="6"/>
  <c r="U25" i="6" l="1"/>
  <c r="V25" i="6"/>
  <c r="R26" i="6"/>
  <c r="U26" i="6" l="1"/>
  <c r="V26" i="6"/>
  <c r="R27" i="6"/>
  <c r="U27" i="6" l="1"/>
  <c r="V27" i="6"/>
  <c r="R28" i="6"/>
  <c r="AB24" i="5"/>
  <c r="Z28" i="5" s="1"/>
  <c r="U28" i="6" l="1"/>
  <c r="V28" i="6"/>
  <c r="R29" i="6"/>
  <c r="AC7" i="5"/>
  <c r="AD7" i="5" s="1"/>
  <c r="AC5" i="5"/>
  <c r="AD5" i="5" s="1"/>
  <c r="AC4" i="5"/>
  <c r="AD4" i="5" s="1"/>
  <c r="AC6" i="5"/>
  <c r="AD6" i="5" s="1"/>
  <c r="AC8" i="5"/>
  <c r="AD8" i="5" s="1"/>
  <c r="AC9" i="5"/>
  <c r="AD9" i="5" s="1"/>
  <c r="AC10" i="5"/>
  <c r="AD10" i="5" s="1"/>
  <c r="AC11" i="5"/>
  <c r="AD11" i="5" s="1"/>
  <c r="AC12" i="5"/>
  <c r="AD12" i="5" s="1"/>
  <c r="AC13" i="5"/>
  <c r="AD13" i="5" s="1"/>
  <c r="AC14" i="5"/>
  <c r="AD14" i="5" s="1"/>
  <c r="AC15" i="5"/>
  <c r="AD15" i="5" s="1"/>
  <c r="AC16" i="5"/>
  <c r="AD16" i="5" s="1"/>
  <c r="AC17" i="5"/>
  <c r="AD17" i="5" s="1"/>
  <c r="AC18" i="5"/>
  <c r="AD18" i="5" s="1"/>
  <c r="AC19" i="5"/>
  <c r="AD19" i="5" s="1"/>
  <c r="AC20" i="5"/>
  <c r="AD20" i="5" s="1"/>
  <c r="AC21" i="5"/>
  <c r="AD21" i="5" s="1"/>
  <c r="AC22" i="5"/>
  <c r="AD22" i="5" s="1"/>
  <c r="AC23" i="5"/>
  <c r="AD23" i="5" s="1"/>
  <c r="U29" i="6" l="1"/>
  <c r="U64" i="6" s="1"/>
  <c r="V29" i="6"/>
  <c r="E23" i="1"/>
  <c r="AD24" i="5"/>
  <c r="Z26" i="5" s="1"/>
  <c r="R30" i="6"/>
  <c r="V30" i="6" s="1"/>
  <c r="Z27" i="5" l="1"/>
  <c r="Z29" i="5" s="1"/>
  <c r="E28" i="1" s="1"/>
  <c r="E13" i="1"/>
  <c r="E18" i="1"/>
  <c r="R31" i="6"/>
  <c r="V31" i="6" s="1"/>
  <c r="R32" i="6" l="1"/>
  <c r="V32" i="6" s="1"/>
  <c r="R33" i="6" l="1"/>
  <c r="V33" i="6" s="1"/>
  <c r="R34" i="6" l="1"/>
  <c r="V34" i="6" s="1"/>
  <c r="R35" i="6" l="1"/>
  <c r="V35" i="6" s="1"/>
  <c r="R36" i="6" l="1"/>
  <c r="V36" i="6" s="1"/>
  <c r="R37" i="6" l="1"/>
  <c r="V37" i="6" s="1"/>
  <c r="R38" i="6" l="1"/>
  <c r="V38" i="6" s="1"/>
  <c r="R39" i="6" l="1"/>
  <c r="V39" i="6" s="1"/>
  <c r="R40" i="6" l="1"/>
  <c r="V40" i="6" s="1"/>
  <c r="R41" i="6" l="1"/>
  <c r="V41" i="6" s="1"/>
  <c r="R42" i="6" l="1"/>
  <c r="V42" i="6" s="1"/>
  <c r="R43" i="6" l="1"/>
  <c r="V43" i="6" s="1"/>
  <c r="R44" i="6" l="1"/>
  <c r="V44" i="6" s="1"/>
  <c r="R45" i="6" l="1"/>
  <c r="V45" i="6" s="1"/>
  <c r="R46" i="6" l="1"/>
  <c r="V46" i="6" s="1"/>
  <c r="R47" i="6" l="1"/>
  <c r="V47" i="6" s="1"/>
  <c r="R48" i="6" l="1"/>
  <c r="V48" i="6" s="1"/>
  <c r="R49" i="6" l="1"/>
  <c r="V49" i="6" s="1"/>
  <c r="R50" i="6" l="1"/>
  <c r="V50" i="6" s="1"/>
  <c r="R51" i="6" l="1"/>
  <c r="V51" i="6" s="1"/>
  <c r="R52" i="6" l="1"/>
  <c r="V52" i="6" s="1"/>
  <c r="R53" i="6" l="1"/>
  <c r="V53" i="6" s="1"/>
  <c r="R54" i="6" l="1"/>
  <c r="V54" i="6" s="1"/>
  <c r="R55" i="6" l="1"/>
  <c r="V55" i="6" s="1"/>
  <c r="R56" i="6" l="1"/>
  <c r="V56" i="6" s="1"/>
  <c r="R57" i="6" l="1"/>
  <c r="V57" i="6" s="1"/>
  <c r="R58" i="6" l="1"/>
  <c r="V58" i="6" s="1"/>
  <c r="R59" i="6" l="1"/>
  <c r="V59" i="6" s="1"/>
  <c r="R60" i="6" l="1"/>
  <c r="V60" i="6" s="1"/>
  <c r="R61" i="6" l="1"/>
  <c r="V61" i="6" s="1"/>
  <c r="R62" i="6" l="1"/>
  <c r="V62" i="6" s="1"/>
  <c r="V64" i="6" s="1"/>
  <c r="R64" i="6" l="1"/>
  <c r="S63" i="6" s="1"/>
  <c r="T63" i="6" s="1"/>
  <c r="P68" i="6" l="1"/>
  <c r="D24" i="1"/>
  <c r="S62" i="6"/>
  <c r="T62" i="6" s="1"/>
  <c r="S7" i="6"/>
  <c r="T7" i="6" s="1"/>
  <c r="S33" i="6"/>
  <c r="T33" i="6" s="1"/>
  <c r="S35" i="6"/>
  <c r="T35" i="6" s="1"/>
  <c r="S36" i="6"/>
  <c r="T36" i="6" s="1"/>
  <c r="S14" i="6"/>
  <c r="T14" i="6" s="1"/>
  <c r="S37" i="6"/>
  <c r="T37" i="6" s="1"/>
  <c r="S20" i="6"/>
  <c r="T20" i="6" s="1"/>
  <c r="S39" i="6"/>
  <c r="T39" i="6" s="1"/>
  <c r="S26" i="6"/>
  <c r="T26" i="6" s="1"/>
  <c r="S41" i="6"/>
  <c r="T41" i="6" s="1"/>
  <c r="S42" i="6"/>
  <c r="T42" i="6" s="1"/>
  <c r="S28" i="6"/>
  <c r="T28" i="6" s="1"/>
  <c r="S44" i="6"/>
  <c r="T44" i="6" s="1"/>
  <c r="S21" i="6"/>
  <c r="T21" i="6" s="1"/>
  <c r="S4" i="6"/>
  <c r="T4" i="6" s="1"/>
  <c r="S34" i="6"/>
  <c r="T34" i="6" s="1"/>
  <c r="S6" i="6"/>
  <c r="T6" i="6" s="1"/>
  <c r="S24" i="6"/>
  <c r="T24" i="6" s="1"/>
  <c r="S16" i="6"/>
  <c r="T16" i="6" s="1"/>
  <c r="S8" i="6"/>
  <c r="T8" i="6" s="1"/>
  <c r="S23" i="6"/>
  <c r="T23" i="6" s="1"/>
  <c r="S29" i="6"/>
  <c r="T29" i="6" s="1"/>
  <c r="S15" i="6"/>
  <c r="T15" i="6" s="1"/>
  <c r="S18" i="6"/>
  <c r="T18" i="6" s="1"/>
  <c r="S46" i="6"/>
  <c r="T46" i="6" s="1"/>
  <c r="S47" i="6"/>
  <c r="T47" i="6" s="1"/>
  <c r="S32" i="6"/>
  <c r="T32" i="6" s="1"/>
  <c r="S13" i="6"/>
  <c r="T13" i="6" s="1"/>
  <c r="S38" i="6"/>
  <c r="T38" i="6" s="1"/>
  <c r="S30" i="6"/>
  <c r="T30" i="6" s="1"/>
  <c r="S40" i="6"/>
  <c r="T40" i="6" s="1"/>
  <c r="S9" i="6"/>
  <c r="T9" i="6" s="1"/>
  <c r="S43" i="6"/>
  <c r="T43" i="6" s="1"/>
  <c r="S19" i="6"/>
  <c r="T19" i="6" s="1"/>
  <c r="S45" i="6"/>
  <c r="T45" i="6" s="1"/>
  <c r="S17" i="6"/>
  <c r="T17" i="6" s="1"/>
  <c r="S25" i="6"/>
  <c r="T25" i="6" s="1"/>
  <c r="S27" i="6"/>
  <c r="T27" i="6" s="1"/>
  <c r="S5" i="6"/>
  <c r="T5" i="6" s="1"/>
  <c r="S11" i="6"/>
  <c r="T11" i="6" s="1"/>
  <c r="S31" i="6"/>
  <c r="T31" i="6" s="1"/>
  <c r="S22" i="6"/>
  <c r="T22" i="6" s="1"/>
  <c r="S10" i="6"/>
  <c r="T10" i="6" s="1"/>
  <c r="S12" i="6"/>
  <c r="T12" i="6" s="1"/>
  <c r="S48" i="6"/>
  <c r="T48" i="6" s="1"/>
  <c r="S49" i="6"/>
  <c r="T49" i="6" s="1"/>
  <c r="S50" i="6"/>
  <c r="T50" i="6" s="1"/>
  <c r="S51" i="6"/>
  <c r="T51" i="6" s="1"/>
  <c r="S52" i="6"/>
  <c r="T52" i="6" s="1"/>
  <c r="S53" i="6"/>
  <c r="T53" i="6" s="1"/>
  <c r="S54" i="6"/>
  <c r="T54" i="6" s="1"/>
  <c r="S55" i="6"/>
  <c r="T55" i="6" s="1"/>
  <c r="S56" i="6"/>
  <c r="T56" i="6" s="1"/>
  <c r="S57" i="6"/>
  <c r="T57" i="6" s="1"/>
  <c r="S58" i="6"/>
  <c r="T58" i="6" s="1"/>
  <c r="S59" i="6"/>
  <c r="T59" i="6" s="1"/>
  <c r="S60" i="6"/>
  <c r="T60" i="6" s="1"/>
  <c r="S61" i="6"/>
  <c r="T61" i="6" s="1"/>
  <c r="T64" i="6" l="1"/>
  <c r="P66" i="6" s="1"/>
  <c r="D14" i="1"/>
  <c r="P67" i="6" l="1"/>
  <c r="D19" i="1" l="1"/>
  <c r="P69" i="6"/>
  <c r="D29" i="1" s="1"/>
  <c r="H12" i="5"/>
  <c r="H13" i="5"/>
  <c r="K13" i="5" s="1"/>
  <c r="K12" i="5" l="1"/>
  <c r="K24" i="5" s="1"/>
  <c r="H24" i="5"/>
  <c r="I4" i="5" s="1"/>
  <c r="J4" i="5" s="1"/>
  <c r="L13" i="5"/>
  <c r="L12" i="5"/>
  <c r="I18" i="5" l="1"/>
  <c r="J18" i="5" s="1"/>
  <c r="I6" i="5"/>
  <c r="J6" i="5" s="1"/>
  <c r="I11" i="5"/>
  <c r="J11" i="5" s="1"/>
  <c r="I17" i="5"/>
  <c r="J17" i="5" s="1"/>
  <c r="I9" i="5"/>
  <c r="J9" i="5" s="1"/>
  <c r="I5" i="5"/>
  <c r="J5" i="5" s="1"/>
  <c r="I7" i="5"/>
  <c r="J7" i="5" s="1"/>
  <c r="I8" i="5"/>
  <c r="J8" i="5" s="1"/>
  <c r="I15" i="5"/>
  <c r="J15" i="5" s="1"/>
  <c r="I20" i="5"/>
  <c r="J20" i="5" s="1"/>
  <c r="I23" i="5"/>
  <c r="J23" i="5" s="1"/>
  <c r="I10" i="5"/>
  <c r="J10" i="5" s="1"/>
  <c r="I21" i="5"/>
  <c r="J21" i="5" s="1"/>
  <c r="I12" i="5"/>
  <c r="J12" i="5" s="1"/>
  <c r="I22" i="5"/>
  <c r="J22" i="5" s="1"/>
  <c r="I13" i="5"/>
  <c r="J13" i="5" s="1"/>
  <c r="I19" i="5"/>
  <c r="J19" i="5" s="1"/>
  <c r="I14" i="5"/>
  <c r="J14" i="5" s="1"/>
  <c r="I16" i="5"/>
  <c r="J16" i="5" s="1"/>
  <c r="T12" i="5"/>
  <c r="T17" i="5"/>
  <c r="T10" i="5"/>
  <c r="T7" i="5"/>
  <c r="T23" i="5"/>
  <c r="T21" i="5"/>
  <c r="T15" i="5"/>
  <c r="T13" i="5"/>
  <c r="T20" i="5"/>
  <c r="T14" i="5"/>
  <c r="T11" i="5"/>
  <c r="T5" i="5"/>
  <c r="T9" i="5"/>
  <c r="T16" i="5"/>
  <c r="T4" i="5"/>
  <c r="T22" i="5"/>
  <c r="T19" i="5"/>
  <c r="T8" i="5"/>
  <c r="T18" i="5"/>
  <c r="T6" i="5"/>
  <c r="L24" i="5"/>
  <c r="F28" i="5" s="1"/>
  <c r="J24" i="5" l="1"/>
  <c r="F26" i="5" s="1"/>
  <c r="C23" i="1"/>
  <c r="T24" i="5"/>
  <c r="P26" i="5" s="1"/>
  <c r="C13" i="1" l="1"/>
  <c r="F27" i="5"/>
  <c r="P27" i="5"/>
  <c r="D13" i="1"/>
  <c r="C18" i="1"/>
  <c r="F29" i="5"/>
  <c r="C28" i="1" s="1"/>
  <c r="O5" i="1" l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Q4" i="1"/>
  <c r="R4" i="1"/>
  <c r="P11" i="1"/>
  <c r="R11" i="1" s="1"/>
  <c r="P10" i="1"/>
  <c r="R10" i="1" s="1"/>
  <c r="P5" i="1"/>
  <c r="R5" i="1" s="1"/>
  <c r="P6" i="1"/>
  <c r="R6" i="1" s="1"/>
  <c r="P12" i="1"/>
  <c r="R12" i="1" s="1"/>
  <c r="P7" i="1"/>
  <c r="R7" i="1" s="1"/>
  <c r="P8" i="1"/>
  <c r="R8" i="1" s="1"/>
  <c r="P9" i="1"/>
  <c r="R9" i="1" s="1"/>
  <c r="D18" i="1"/>
  <c r="P29" i="5"/>
  <c r="D28" i="1" s="1"/>
</calcChain>
</file>

<file path=xl/sharedStrings.xml><?xml version="1.0" encoding="utf-8"?>
<sst xmlns="http://schemas.openxmlformats.org/spreadsheetml/2006/main" count="211" uniqueCount="43">
  <si>
    <t>Price</t>
  </si>
  <si>
    <t xml:space="preserve">Yield </t>
  </si>
  <si>
    <t>Coupon</t>
  </si>
  <si>
    <t>10-Year Bond</t>
  </si>
  <si>
    <t>30-Year Bond</t>
  </si>
  <si>
    <t>Face Value</t>
  </si>
  <si>
    <t>Coupon Rate</t>
  </si>
  <si>
    <t>Period</t>
  </si>
  <si>
    <t>Cash Flow</t>
  </si>
  <si>
    <t>PV of CF</t>
  </si>
  <si>
    <t>TW PV of CF</t>
  </si>
  <si>
    <t>TW^2 PV of CF</t>
  </si>
  <si>
    <t>Macaulay Duration</t>
  </si>
  <si>
    <t>Modified Duration</t>
  </si>
  <si>
    <t>Convexity</t>
  </si>
  <si>
    <t>PV as % of Sum of PV</t>
  </si>
  <si>
    <t>Yield</t>
  </si>
  <si>
    <t>Duration Implied Price</t>
  </si>
  <si>
    <t>Convexity Implied Price</t>
  </si>
  <si>
    <t>Semi-Annually Coupon</t>
  </si>
  <si>
    <t>Scenario Rate</t>
  </si>
  <si>
    <t>Reivestment as per theory</t>
  </si>
  <si>
    <t>PV as % of CF</t>
  </si>
  <si>
    <t>Parallel Up</t>
  </si>
  <si>
    <t>Parallel Down</t>
  </si>
  <si>
    <t>Base</t>
  </si>
  <si>
    <t>Bond</t>
  </si>
  <si>
    <t>10 Year Gilt</t>
  </si>
  <si>
    <t>30 Year Gilt</t>
  </si>
  <si>
    <t>GBP01</t>
  </si>
  <si>
    <t>Change in BPs</t>
  </si>
  <si>
    <t>New Yield</t>
  </si>
  <si>
    <t>Price (Full reval)</t>
  </si>
  <si>
    <t>PnL DV01+Conv</t>
  </si>
  <si>
    <t>PnL DV01</t>
  </si>
  <si>
    <t>PnL Full</t>
  </si>
  <si>
    <t>Error (GBP01)</t>
  </si>
  <si>
    <t>Error (GBP01+Conv)</t>
  </si>
  <si>
    <t>Change in BPs in Percentage</t>
  </si>
  <si>
    <t>Bond Maturity (Years)</t>
  </si>
  <si>
    <t>Measuring and Communicating Interest Rate Risk : DV01 &amp; Convexity in UK Bond Markets</t>
  </si>
  <si>
    <t>Ayan Biswas</t>
  </si>
  <si>
    <t>Presented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</si>
</sst>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0.0000"/>
    <numFmt numFmtId="165" formatCode="0.0000%"/>
    <numFmt numFmtId="166" formatCode="_-[$£-809]* #,##0.00_-;\-[$£-809]* #,##0.00_-;_-[$£-809]* &quot;-&quot;??_-;_-@_-"/>
    <numFmt numFmtId="167" formatCode="[$£-809]#,##0.00"/>
    <numFmt numFmtId="168" formatCode="[$£-809]#,##0.0000"/>
    <numFmt numFmtId="169" formatCode="_-[$£-809]* #,##0.00_-;[Red]\-[$£-809]* #,##0.00_-;_-[$£-809]* &quot;-&quot;??_-;_-@_-"/>
    <numFmt numFmtId="170" formatCode="_-[$£-809]* #,##0.000_-;\-[$£-809]* #,##0.000_-;_-[$£-809]* &quot;-&quot;??_-;_-@_-"/>
    <numFmt numFmtId="171" formatCode="0.0"/>
    <numFmt numFmtId="173" formatCode="_-[$£-809]* #,##0.0000_-;\-[$£-809]* #,##0.0000_-;_-[$£-809]* &quot;-&quot;??_-;_-@_-"/>
    <numFmt numFmtId="178" formatCode="0.000%"/>
    <numFmt numFmtId="181" formatCode="0.00000%"/>
  </numFmts>
  <fonts count="9" x14ac:knownFonts="1">
    <font>
      <sz val="11"/>
      <color theme="1"/>
      <name val="Calisto MT"/>
      <family val="2"/>
      <scheme val="minor"/>
    </font>
    <font>
      <sz val="11"/>
      <color theme="1"/>
      <name val="Calisto MT"/>
      <family val="2"/>
      <scheme val="minor"/>
    </font>
    <font>
      <b/>
      <sz val="11"/>
      <color theme="1"/>
      <name val="Calisto MT"/>
      <family val="2"/>
      <scheme val="minor"/>
    </font>
    <font>
      <b/>
      <sz val="11"/>
      <name val="Calisto MT"/>
      <family val="2"/>
      <scheme val="minor"/>
    </font>
    <font>
      <b/>
      <sz val="11"/>
      <color rgb="FF002060"/>
      <name val="Calisto MT"/>
      <family val="2"/>
      <scheme val="minor"/>
    </font>
    <font>
      <b/>
      <sz val="22"/>
      <color theme="1"/>
      <name val="Calisto MT"/>
      <family val="2"/>
      <scheme val="minor"/>
    </font>
    <font>
      <b/>
      <sz val="18"/>
      <color theme="1"/>
      <name val="Calisto MT"/>
      <family val="1"/>
      <scheme val="minor"/>
    </font>
    <font>
      <b/>
      <sz val="12"/>
      <color theme="1"/>
      <name val="Calisto MT"/>
      <family val="2"/>
      <scheme val="minor"/>
    </font>
    <font>
      <sz val="12"/>
      <color theme="1"/>
      <name val="Calisto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 vertical="center"/>
    </xf>
    <xf numFmtId="0" fontId="0" fillId="2" borderId="2" xfId="0" applyFill="1" applyBorder="1"/>
    <xf numFmtId="165" fontId="0" fillId="2" borderId="2" xfId="0" applyNumberFormat="1" applyFill="1" applyBorder="1"/>
    <xf numFmtId="10" fontId="0" fillId="2" borderId="2" xfId="0" applyNumberFormat="1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6" xfId="0" applyFill="1" applyBorder="1"/>
    <xf numFmtId="0" fontId="0" fillId="2" borderId="7" xfId="0" applyFill="1" applyBorder="1"/>
    <xf numFmtId="166" fontId="0" fillId="2" borderId="2" xfId="0" applyNumberFormat="1" applyFill="1" applyBorder="1"/>
    <xf numFmtId="166" fontId="0" fillId="3" borderId="1" xfId="0" applyNumberFormat="1" applyFill="1" applyBorder="1"/>
    <xf numFmtId="167" fontId="0" fillId="2" borderId="2" xfId="0" applyNumberFormat="1" applyFill="1" applyBorder="1"/>
    <xf numFmtId="167" fontId="0" fillId="3" borderId="1" xfId="0" applyNumberFormat="1" applyFill="1" applyBorder="1"/>
    <xf numFmtId="0" fontId="2" fillId="3" borderId="6" xfId="0" applyFont="1" applyFill="1" applyBorder="1"/>
    <xf numFmtId="10" fontId="0" fillId="2" borderId="2" xfId="2" applyNumberFormat="1" applyFont="1" applyFill="1" applyBorder="1"/>
    <xf numFmtId="10" fontId="0" fillId="2" borderId="7" xfId="2" applyNumberFormat="1" applyFont="1" applyFill="1" applyBorder="1"/>
    <xf numFmtId="166" fontId="0" fillId="2" borderId="7" xfId="0" applyNumberFormat="1" applyFill="1" applyBorder="1"/>
    <xf numFmtId="164" fontId="0" fillId="2" borderId="2" xfId="0" applyNumberFormat="1" applyFill="1" applyBorder="1"/>
    <xf numFmtId="164" fontId="0" fillId="3" borderId="1" xfId="0" applyNumberFormat="1" applyFill="1" applyBorder="1"/>
    <xf numFmtId="164" fontId="0" fillId="2" borderId="6" xfId="0" applyNumberFormat="1" applyFill="1" applyBorder="1"/>
    <xf numFmtId="164" fontId="0" fillId="2" borderId="7" xfId="0" applyNumberForma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7" xfId="0" applyFont="1" applyFill="1" applyBorder="1"/>
    <xf numFmtId="165" fontId="0" fillId="2" borderId="2" xfId="2" applyNumberFormat="1" applyFont="1" applyFill="1" applyBorder="1"/>
    <xf numFmtId="167" fontId="0" fillId="0" borderId="0" xfId="0" applyNumberFormat="1"/>
    <xf numFmtId="168" fontId="0" fillId="0" borderId="0" xfId="0" applyNumberFormat="1"/>
    <xf numFmtId="10" fontId="0" fillId="2" borderId="6" xfId="0" applyNumberFormat="1" applyFill="1" applyBorder="1"/>
    <xf numFmtId="10" fontId="0" fillId="2" borderId="7" xfId="0" applyNumberFormat="1" applyFill="1" applyBorder="1"/>
    <xf numFmtId="167" fontId="0" fillId="2" borderId="7" xfId="0" applyNumberFormat="1" applyFill="1" applyBorder="1"/>
    <xf numFmtId="0" fontId="3" fillId="3" borderId="1" xfId="0" applyFont="1" applyFill="1" applyBorder="1"/>
    <xf numFmtId="0" fontId="0" fillId="4" borderId="2" xfId="0" applyFill="1" applyBorder="1"/>
    <xf numFmtId="165" fontId="0" fillId="4" borderId="2" xfId="2" applyNumberFormat="1" applyFont="1" applyFill="1" applyBorder="1"/>
    <xf numFmtId="164" fontId="0" fillId="4" borderId="2" xfId="0" applyNumberFormat="1" applyFill="1" applyBorder="1"/>
    <xf numFmtId="10" fontId="0" fillId="4" borderId="2" xfId="2" applyNumberFormat="1" applyFont="1" applyFill="1" applyBorder="1"/>
    <xf numFmtId="10" fontId="0" fillId="3" borderId="1" xfId="0" applyNumberFormat="1" applyFill="1" applyBorder="1"/>
    <xf numFmtId="167" fontId="0" fillId="4" borderId="2" xfId="0" applyNumberFormat="1" applyFill="1" applyBorder="1"/>
    <xf numFmtId="165" fontId="0" fillId="4" borderId="2" xfId="0" applyNumberFormat="1" applyFill="1" applyBorder="1"/>
    <xf numFmtId="166" fontId="0" fillId="2" borderId="2" xfId="1" applyNumberFormat="1" applyFont="1" applyFill="1" applyBorder="1"/>
    <xf numFmtId="166" fontId="0" fillId="2" borderId="6" xfId="0" applyNumberFormat="1" applyFill="1" applyBorder="1"/>
    <xf numFmtId="166" fontId="0" fillId="4" borderId="2" xfId="0" applyNumberFormat="1" applyFill="1" applyBorder="1"/>
    <xf numFmtId="166" fontId="0" fillId="0" borderId="0" xfId="0" applyNumberFormat="1"/>
    <xf numFmtId="10" fontId="0" fillId="2" borderId="6" xfId="2" applyNumberFormat="1" applyFont="1" applyFill="1" applyBorder="1"/>
    <xf numFmtId="165" fontId="0" fillId="2" borderId="6" xfId="0" applyNumberFormat="1" applyFill="1" applyBorder="1"/>
    <xf numFmtId="165" fontId="0" fillId="2" borderId="7" xfId="0" applyNumberFormat="1" applyFill="1" applyBorder="1"/>
    <xf numFmtId="166" fontId="0" fillId="2" borderId="6" xfId="2" applyNumberFormat="1" applyFont="1" applyFill="1" applyBorder="1"/>
    <xf numFmtId="166" fontId="0" fillId="2" borderId="2" xfId="2" applyNumberFormat="1" applyFont="1" applyFill="1" applyBorder="1"/>
    <xf numFmtId="166" fontId="0" fillId="2" borderId="7" xfId="2" applyNumberFormat="1" applyFont="1" applyFill="1" applyBorder="1"/>
    <xf numFmtId="166" fontId="0" fillId="4" borderId="2" xfId="2" applyNumberFormat="1" applyFont="1" applyFill="1" applyBorder="1"/>
    <xf numFmtId="169" fontId="0" fillId="2" borderId="6" xfId="2" applyNumberFormat="1" applyFont="1" applyFill="1" applyBorder="1"/>
    <xf numFmtId="169" fontId="0" fillId="2" borderId="2" xfId="2" applyNumberFormat="1" applyFont="1" applyFill="1" applyBorder="1"/>
    <xf numFmtId="169" fontId="0" fillId="2" borderId="7" xfId="2" applyNumberFormat="1" applyFont="1" applyFill="1" applyBorder="1"/>
    <xf numFmtId="169" fontId="0" fillId="4" borderId="2" xfId="2" applyNumberFormat="1" applyFont="1" applyFill="1" applyBorder="1"/>
    <xf numFmtId="0" fontId="6" fillId="3" borderId="8" xfId="0" applyFont="1" applyFill="1" applyBorder="1"/>
    <xf numFmtId="0" fontId="0" fillId="3" borderId="9" xfId="0" applyFill="1" applyBorder="1"/>
    <xf numFmtId="0" fontId="5" fillId="3" borderId="11" xfId="0" applyFont="1" applyFill="1" applyBorder="1"/>
    <xf numFmtId="0" fontId="0" fillId="3" borderId="12" xfId="0" applyFill="1" applyBorder="1"/>
    <xf numFmtId="0" fontId="0" fillId="3" borderId="0" xfId="0" applyFill="1"/>
    <xf numFmtId="0" fontId="0" fillId="3" borderId="13" xfId="0" applyFill="1" applyBorder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10" fontId="8" fillId="3" borderId="0" xfId="0" applyNumberFormat="1" applyFont="1" applyFill="1" applyAlignment="1">
      <alignment horizontal="center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2" fontId="0" fillId="0" borderId="0" xfId="0" applyNumberFormat="1"/>
    <xf numFmtId="0" fontId="4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170" fontId="0" fillId="2" borderId="2" xfId="0" applyNumberFormat="1" applyFill="1" applyBorder="1"/>
    <xf numFmtId="171" fontId="0" fillId="2" borderId="2" xfId="0" applyNumberFormat="1" applyFill="1" applyBorder="1"/>
    <xf numFmtId="173" fontId="0" fillId="2" borderId="2" xfId="0" applyNumberFormat="1" applyFill="1" applyBorder="1"/>
    <xf numFmtId="164" fontId="0" fillId="2" borderId="2" xfId="2" applyNumberFormat="1" applyFont="1" applyFill="1" applyBorder="1"/>
    <xf numFmtId="170" fontId="0" fillId="2" borderId="2" xfId="1" applyNumberFormat="1" applyFont="1" applyFill="1" applyBorder="1"/>
    <xf numFmtId="170" fontId="0" fillId="3" borderId="1" xfId="0" applyNumberFormat="1" applyFill="1" applyBorder="1"/>
    <xf numFmtId="170" fontId="0" fillId="2" borderId="7" xfId="1" applyNumberFormat="1" applyFont="1" applyFill="1" applyBorder="1"/>
    <xf numFmtId="170" fontId="0" fillId="2" borderId="7" xfId="0" applyNumberFormat="1" applyFill="1" applyBorder="1"/>
    <xf numFmtId="181" fontId="0" fillId="2" borderId="2" xfId="2" applyNumberFormat="1" applyFont="1" applyFill="1" applyBorder="1"/>
    <xf numFmtId="171" fontId="0" fillId="4" borderId="2" xfId="0" applyNumberFormat="1" applyFill="1" applyBorder="1"/>
    <xf numFmtId="10" fontId="0" fillId="4" borderId="2" xfId="0" applyNumberFormat="1" applyFill="1" applyBorder="1"/>
    <xf numFmtId="173" fontId="0" fillId="2" borderId="7" xfId="0" applyNumberFormat="1" applyFill="1" applyBorder="1"/>
    <xf numFmtId="173" fontId="0" fillId="4" borderId="2" xfId="0" applyNumberFormat="1" applyFill="1" applyBorder="1"/>
    <xf numFmtId="178" fontId="0" fillId="0" borderId="0" xfId="2" applyNumberFormat="1" applyFont="1"/>
    <xf numFmtId="165" fontId="0" fillId="0" borderId="0" xfId="0" applyNumberFormat="1"/>
    <xf numFmtId="173" fontId="0" fillId="2" borderId="6" xfId="2" applyNumberFormat="1" applyFont="1" applyFill="1" applyBorder="1"/>
    <xf numFmtId="173" fontId="0" fillId="2" borderId="2" xfId="2" applyNumberFormat="1" applyFont="1" applyFill="1" applyBorder="1"/>
    <xf numFmtId="173" fontId="0" fillId="4" borderId="2" xfId="2" applyNumberFormat="1" applyFont="1" applyFill="1" applyBorder="1"/>
    <xf numFmtId="173" fontId="0" fillId="2" borderId="7" xfId="2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Methodology Difference - 10 Year Gilt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'GBP01 &amp; Convexity'!$U$3</c:f>
              <c:strCache>
                <c:ptCount val="1"/>
                <c:pt idx="0">
                  <c:v>PnL Full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'GBP01 &amp; Convexity'!$T$4:$T$12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Convexity'!$U$4:$U$12</c:f>
              <c:numCache>
                <c:formatCode>_-[$£-809]* #,##0.00_-;\-[$£-809]* #,##0.00_-;_-[$£-809]* "-"??_-;_-@_-</c:formatCode>
                <c:ptCount val="9"/>
                <c:pt idx="0">
                  <c:v>16.772941110169924</c:v>
                </c:pt>
                <c:pt idx="1">
                  <c:v>12.285733637198021</c:v>
                </c:pt>
                <c:pt idx="2">
                  <c:v>8.0010007358599182</c:v>
                </c:pt>
                <c:pt idx="3">
                  <c:v>3.9088755062860514</c:v>
                </c:pt>
                <c:pt idx="4">
                  <c:v>0</c:v>
                </c:pt>
                <c:pt idx="5">
                  <c:v>-3.7345023385540514</c:v>
                </c:pt>
                <c:pt idx="6">
                  <c:v>-7.3030526712571344</c:v>
                </c:pt>
                <c:pt idx="7">
                  <c:v>-10.713641298227927</c:v>
                </c:pt>
                <c:pt idx="8">
                  <c:v>-13.973850808669042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2-40CD-86A4-29B53D021715}"/>
            </c:ext>
          </c:extLst>
        </c:ser>
        <c:ser>
          <c:idx val="1"/>
          <c:order val="1"/>
          <c:tx>
            <c:strRef>
              <c:f>'GBP01 &amp; Convexity'!$V$3</c:f>
              <c:strCache>
                <c:ptCount val="1"/>
                <c:pt idx="0">
                  <c:v>PnL DV01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'GBP01 &amp; Convexity'!$T$4:$T$12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Convexity'!$V$4:$V$12</c:f>
              <c:numCache>
                <c:formatCode>_-[$£-809]* #,##0.00_-;\-[$£-809]* #,##0.00_-;_-[$£-809]* "-"??_-;_-@_-</c:formatCode>
                <c:ptCount val="9"/>
                <c:pt idx="0">
                  <c:v>31.146277660128785</c:v>
                </c:pt>
                <c:pt idx="1">
                  <c:v>23.359708245096588</c:v>
                </c:pt>
                <c:pt idx="2">
                  <c:v>15.573138830064392</c:v>
                </c:pt>
                <c:pt idx="3">
                  <c:v>7.7865694150321962</c:v>
                </c:pt>
                <c:pt idx="4">
                  <c:v>0</c:v>
                </c:pt>
                <c:pt idx="5">
                  <c:v>-7.7865694150321962</c:v>
                </c:pt>
                <c:pt idx="6">
                  <c:v>-15.573138830064392</c:v>
                </c:pt>
                <c:pt idx="7">
                  <c:v>-23.359708245096588</c:v>
                </c:pt>
                <c:pt idx="8">
                  <c:v>-31.146277660128785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2-40CD-86A4-29B53D021715}"/>
            </c:ext>
          </c:extLst>
        </c:ser>
        <c:ser>
          <c:idx val="2"/>
          <c:order val="2"/>
          <c:tx>
            <c:strRef>
              <c:f>'GBP01 &amp; Convexity'!$W$3</c:f>
              <c:strCache>
                <c:ptCount val="1"/>
                <c:pt idx="0">
                  <c:v>PnL DV01+Conv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'GBP01 &amp; Convexity'!$T$4:$T$12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Convexity'!$W$4:$W$12</c:f>
              <c:numCache>
                <c:formatCode>_-[$£-809]* #,##0.00_-;\-[$£-809]* #,##0.00_-;_-[$£-809]* "-"??_-;_-@_-</c:formatCode>
                <c:ptCount val="9"/>
                <c:pt idx="0">
                  <c:v>37.506110312971686</c:v>
                </c:pt>
                <c:pt idx="1">
                  <c:v>26.937675157618418</c:v>
                </c:pt>
                <c:pt idx="2">
                  <c:v>17.163845053672055</c:v>
                </c:pt>
                <c:pt idx="3">
                  <c:v>8.1846200011325809</c:v>
                </c:pt>
                <c:pt idx="4">
                  <c:v>0</c:v>
                </c:pt>
                <c:pt idx="5">
                  <c:v>-7.3900149497256873</c:v>
                </c:pt>
                <c:pt idx="6">
                  <c:v>-13.985424848044481</c:v>
                </c:pt>
                <c:pt idx="7">
                  <c:v>-19.786229694956379</c:v>
                </c:pt>
                <c:pt idx="8">
                  <c:v>-24.792429490461391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2-40CD-86A4-29B53D021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794303"/>
        <c:axId val="1960795263"/>
      </c:barChart>
      <c:catAx>
        <c:axId val="196079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95263"/>
        <c:crosses val="autoZero"/>
        <c:auto val="1"/>
        <c:lblAlgn val="ctr"/>
        <c:lblOffset val="100"/>
        <c:noMultiLvlLbl val="0"/>
      </c:catAx>
      <c:valAx>
        <c:axId val="1960795263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Methodology Difference - 30 Year Gilt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'GBP01 &amp; Convexity'!$U$16</c:f>
              <c:strCache>
                <c:ptCount val="1"/>
                <c:pt idx="0">
                  <c:v>PnL Full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'GBP01 &amp; Convexity'!$T$17:$T$25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Convexity'!$U$17:$U$25</c:f>
              <c:numCache>
                <c:formatCode>_-[$£-809]* #,##0.00_-;\-[$£-809]* #,##0.00_-;_-[$£-809]* "-"??_-;_-@_-</c:formatCode>
                <c:ptCount val="9"/>
                <c:pt idx="0">
                  <c:v>33.778840864860626</c:v>
                </c:pt>
                <c:pt idx="1">
                  <c:v>23.807747265794134</c:v>
                </c:pt>
                <c:pt idx="2">
                  <c:v>14.942023046727826</c:v>
                </c:pt>
                <c:pt idx="3">
                  <c:v>7.0455751470038166</c:v>
                </c:pt>
                <c:pt idx="4">
                  <c:v>0</c:v>
                </c:pt>
                <c:pt idx="5">
                  <c:v>-6.2977975468623981</c:v>
                </c:pt>
                <c:pt idx="6">
                  <c:v>-11.937656360421869</c:v>
                </c:pt>
                <c:pt idx="7">
                  <c:v>-16.997928620955449</c:v>
                </c:pt>
                <c:pt idx="8">
                  <c:v>-21.547006641351061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D-433F-9481-88323AF565FE}"/>
            </c:ext>
          </c:extLst>
        </c:ser>
        <c:ser>
          <c:idx val="1"/>
          <c:order val="1"/>
          <c:tx>
            <c:strRef>
              <c:f>'GBP01 &amp; Convexity'!$V$16</c:f>
              <c:strCache>
                <c:ptCount val="1"/>
                <c:pt idx="0">
                  <c:v>PnL DV01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'GBP01 &amp; Convexity'!$T$17:$T$25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Convexity'!$V$17:$V$25</c:f>
              <c:numCache>
                <c:formatCode>_-[$£-809]* #,##0.00_-;\-[$£-809]* #,##0.00_-;_-[$£-809]* "-"??_-;_-@_-</c:formatCode>
                <c:ptCount val="9"/>
                <c:pt idx="0">
                  <c:v>52.523234137535987</c:v>
                </c:pt>
                <c:pt idx="1">
                  <c:v>39.392425603151999</c:v>
                </c:pt>
                <c:pt idx="2">
                  <c:v>26.261617068767993</c:v>
                </c:pt>
                <c:pt idx="3">
                  <c:v>13.130808534383997</c:v>
                </c:pt>
                <c:pt idx="4">
                  <c:v>0</c:v>
                </c:pt>
                <c:pt idx="5">
                  <c:v>-13.130808534383997</c:v>
                </c:pt>
                <c:pt idx="6">
                  <c:v>-26.261617068767993</c:v>
                </c:pt>
                <c:pt idx="7">
                  <c:v>-39.392425603151999</c:v>
                </c:pt>
                <c:pt idx="8">
                  <c:v>-52.523234137535987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D-433F-9481-88323AF565FE}"/>
            </c:ext>
          </c:extLst>
        </c:ser>
        <c:ser>
          <c:idx val="2"/>
          <c:order val="2"/>
          <c:tx>
            <c:strRef>
              <c:f>'GBP01 &amp; Convexity'!$W$16</c:f>
              <c:strCache>
                <c:ptCount val="1"/>
                <c:pt idx="0">
                  <c:v>PnL DV01+Conv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'GBP01 &amp; Convexity'!$T$17:$T$25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Convexity'!$W$17:$W$25</c:f>
              <c:numCache>
                <c:formatCode>_-[$£-809]* #,##0.00_-;\-[$£-809]* #,##0.00_-;_-[$£-809]* "-"??_-;_-@_-</c:formatCode>
                <c:ptCount val="9"/>
                <c:pt idx="0">
                  <c:v>78.767933876923365</c:v>
                </c:pt>
                <c:pt idx="1">
                  <c:v>54.176858650849354</c:v>
                </c:pt>
                <c:pt idx="2">
                  <c:v>32.851844596004135</c:v>
                </c:pt>
                <c:pt idx="3">
                  <c:v>14.79289171238768</c:v>
                </c:pt>
                <c:pt idx="4">
                  <c:v>0</c:v>
                </c:pt>
                <c:pt idx="5">
                  <c:v>-11.526830541158906</c:v>
                </c:pt>
                <c:pt idx="6">
                  <c:v>-19.787599911089039</c:v>
                </c:pt>
                <c:pt idx="7">
                  <c:v>-24.782308109790403</c:v>
                </c:pt>
                <c:pt idx="8">
                  <c:v>-26.510955137262989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ED-433F-9481-88323AF56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29359"/>
        <c:axId val="21932719"/>
      </c:barChart>
      <c:catAx>
        <c:axId val="2192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2719"/>
        <c:crosses val="autoZero"/>
        <c:auto val="1"/>
        <c:lblAlgn val="ctr"/>
        <c:lblOffset val="100"/>
        <c:noMultiLvlLbl val="0"/>
      </c:catAx>
      <c:valAx>
        <c:axId val="21932719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095553714895596"/>
                      <c:h val="0.15141745798251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A00-461A-91E9-C9A20A04EEA0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095553714895596"/>
                      <c:h val="0.15141745798251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A00-461A-91E9-C9A20A04EE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'GBP01 &amp; Convexity'!$B$18:$B$19</c:f>
              <c:strCache>
                <c:ptCount val="2"/>
                <c:pt idx="0">
                  <c:v>10 Year Gilt</c:v>
                </c:pt>
                <c:pt idx="1">
                  <c:v>30 Year Gilt</c:v>
                </c:pt>
              </c:strCache>
            </c:strRef>
          </c:cat>
          <c:val>
            <c:numRef>
              <c:f>'GBP01 &amp; Convexity'!$C$18:$C$19</c:f>
              <c:numCache>
                <c:formatCode>0.0000</c:formatCode>
                <c:ptCount val="2"/>
                <c:pt idx="0">
                  <c:v>7.8691043592064904</c:v>
                </c:pt>
                <c:pt idx="1">
                  <c:v>15.176079442197571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0-461A-91E9-C9A20A04EE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0394191"/>
        <c:axId val="2010393231"/>
      </c:barChart>
      <c:catAx>
        <c:axId val="2010394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93231"/>
        <c:crosses val="autoZero"/>
        <c:auto val="1"/>
        <c:lblAlgn val="ctr"/>
        <c:lblOffset val="100"/>
        <c:noMultiLvlLbl val="0"/>
      </c:catAx>
      <c:valAx>
        <c:axId val="2010393231"/>
        <c:scaling>
          <c:orientation val="minMax"/>
          <c:max val="18"/>
        </c:scaling>
        <c:delete val="1"/>
        <c:axPos val="l"/>
        <c:numFmt formatCode="0.0000" sourceLinked="1"/>
        <c:majorTickMark val="out"/>
        <c:minorTickMark val="none"/>
        <c:tickLblPos val="nextTo"/>
        <c:crossAx val="201039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Convexity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661458333333333"/>
                      <c:h val="0.133386752136752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7F6-4AC6-8DA7-49DB92490300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596497703412074"/>
                      <c:h val="0.133386752136752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F6-4AC6-8DA7-49DB92490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'GBP01 &amp; Convexity'!$B$23:$B$24</c:f>
              <c:strCache>
                <c:ptCount val="2"/>
                <c:pt idx="0">
                  <c:v>10 Year Gilt</c:v>
                </c:pt>
                <c:pt idx="1">
                  <c:v>30 Year Gilt</c:v>
                </c:pt>
              </c:strCache>
            </c:strRef>
          </c:cat>
          <c:val>
            <c:numRef>
              <c:f>'GBP01 &amp; Convexity'!$C$23:$C$24</c:f>
              <c:numCache>
                <c:formatCode>0.0000</c:formatCode>
                <c:ptCount val="2"/>
                <c:pt idx="0">
                  <c:v>80.971941558421051</c:v>
                </c:pt>
                <c:pt idx="1">
                  <c:v>357.58528909260536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6-4AC6-8DA7-49DB924903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5981631"/>
        <c:axId val="1965980191"/>
      </c:barChart>
      <c:catAx>
        <c:axId val="196598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980191"/>
        <c:crosses val="autoZero"/>
        <c:auto val="1"/>
        <c:lblAlgn val="ctr"/>
        <c:lblOffset val="100"/>
        <c:noMultiLvlLbl val="0"/>
      </c:catAx>
      <c:valAx>
        <c:axId val="1965980191"/>
        <c:scaling>
          <c:orientation val="minMax"/>
          <c:max val="900"/>
        </c:scaling>
        <c:delete val="1"/>
        <c:axPos val="l"/>
        <c:numFmt formatCode="0.0000" sourceLinked="1"/>
        <c:majorTickMark val="out"/>
        <c:minorTickMark val="none"/>
        <c:tickLblPos val="nextTo"/>
        <c:crossAx val="196598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Error - 10 year Gilt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'GBP01 &amp; Convexity'!$Z$3</c:f>
              <c:strCache>
                <c:ptCount val="1"/>
                <c:pt idx="0">
                  <c:v>Error (GBP01)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'GBP01 &amp; Convexity'!$Y$4:$Y$12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Convexity'!$Z$4:$Z$12</c:f>
              <c:numCache>
                <c:formatCode>_-[$£-809]* #,##0.00_-;\-[$£-809]* #,##0.00_-;_-[$£-809]* "-"??_-;_-@_-</c:formatCode>
                <c:ptCount val="9"/>
                <c:pt idx="0">
                  <c:v>14.373336549958861</c:v>
                </c:pt>
                <c:pt idx="1">
                  <c:v>11.073974607898567</c:v>
                </c:pt>
                <c:pt idx="2">
                  <c:v>7.5721380942044743</c:v>
                </c:pt>
                <c:pt idx="3">
                  <c:v>3.8776939087461448</c:v>
                </c:pt>
                <c:pt idx="4">
                  <c:v>0</c:v>
                </c:pt>
                <c:pt idx="5">
                  <c:v>-4.0520670764781448</c:v>
                </c:pt>
                <c:pt idx="6">
                  <c:v>-8.2700861588072581</c:v>
                </c:pt>
                <c:pt idx="7">
                  <c:v>-12.646066946868661</c:v>
                </c:pt>
                <c:pt idx="8">
                  <c:v>-17.172426851459743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F-464F-BA18-C023B69709A4}"/>
            </c:ext>
          </c:extLst>
        </c:ser>
        <c:ser>
          <c:idx val="2"/>
          <c:order val="1"/>
          <c:tx>
            <c:strRef>
              <c:f>'GBP01 &amp; Convexity'!$AA$3</c:f>
              <c:strCache>
                <c:ptCount val="1"/>
                <c:pt idx="0">
                  <c:v>Error (GBP01+Conv)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'GBP01 &amp; Convexity'!$Y$4:$Y$12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Convexity'!$AA$4:$AA$12</c:f>
              <c:numCache>
                <c:formatCode>_-[$£-809]* #,##0.00_-;[Red]\-[$£-809]* #,##0.00_-;_-[$£-809]* "-"??_-;_-@_-</c:formatCode>
                <c:ptCount val="9"/>
                <c:pt idx="0">
                  <c:v>-20.733169202801761</c:v>
                </c:pt>
                <c:pt idx="1">
                  <c:v>-14.651941520420397</c:v>
                </c:pt>
                <c:pt idx="2">
                  <c:v>-9.1628443178121373</c:v>
                </c:pt>
                <c:pt idx="3">
                  <c:v>-4.2757444948465295</c:v>
                </c:pt>
                <c:pt idx="4">
                  <c:v>0</c:v>
                </c:pt>
                <c:pt idx="5">
                  <c:v>3.6555126111716358</c:v>
                </c:pt>
                <c:pt idx="6">
                  <c:v>6.6823721767873465</c:v>
                </c:pt>
                <c:pt idx="7">
                  <c:v>9.0725883967284524</c:v>
                </c:pt>
                <c:pt idx="8">
                  <c:v>10.818578681792349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F-464F-BA18-C023B6970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679871"/>
        <c:axId val="2000680351"/>
      </c:lineChart>
      <c:catAx>
        <c:axId val="200067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80351"/>
        <c:crosses val="autoZero"/>
        <c:auto val="1"/>
        <c:lblAlgn val="ctr"/>
        <c:lblOffset val="100"/>
        <c:noMultiLvlLbl val="0"/>
      </c:catAx>
      <c:valAx>
        <c:axId val="2000680351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7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Error - 30 Year Gilt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'GBP01 &amp; Convexity'!$Z$16</c:f>
              <c:strCache>
                <c:ptCount val="1"/>
                <c:pt idx="0">
                  <c:v>Error (GBP01)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'GBP01 &amp; Convexity'!$Y$17:$Y$25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Convexity'!$Z$17:$Z$25</c:f>
              <c:numCache>
                <c:formatCode>_-[$£-809]* #,##0.00_-;\-[$£-809]* #,##0.00_-;_-[$£-809]* "-"??_-;_-@_-</c:formatCode>
                <c:ptCount val="9"/>
                <c:pt idx="0">
                  <c:v>18.74439327267536</c:v>
                </c:pt>
                <c:pt idx="1">
                  <c:v>15.584678337357865</c:v>
                </c:pt>
                <c:pt idx="2">
                  <c:v>11.319594022040167</c:v>
                </c:pt>
                <c:pt idx="3">
                  <c:v>6.08523338738018</c:v>
                </c:pt>
                <c:pt idx="4">
                  <c:v>0</c:v>
                </c:pt>
                <c:pt idx="5">
                  <c:v>-6.8330109875215985</c:v>
                </c:pt>
                <c:pt idx="6">
                  <c:v>-14.323960708346124</c:v>
                </c:pt>
                <c:pt idx="7">
                  <c:v>-22.39449698219655</c:v>
                </c:pt>
                <c:pt idx="8">
                  <c:v>-30.976227496184926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4-45F2-B201-763BCB408DF8}"/>
            </c:ext>
          </c:extLst>
        </c:ser>
        <c:ser>
          <c:idx val="1"/>
          <c:order val="1"/>
          <c:tx>
            <c:strRef>
              <c:f>'GBP01 &amp; Convexity'!$AA$16</c:f>
              <c:strCache>
                <c:ptCount val="1"/>
                <c:pt idx="0">
                  <c:v>Error (GBP01+Conv)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'GBP01 &amp; Convexity'!$Y$17:$Y$25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Convexity'!$AA$17:$AA$25</c:f>
              <c:numCache>
                <c:formatCode>_-[$£-809]* #,##0.00_-;[Red]\-[$£-809]* #,##0.00_-;_-[$£-809]* "-"??_-;_-@_-</c:formatCode>
                <c:ptCount val="9"/>
                <c:pt idx="0">
                  <c:v>-44.989093012062739</c:v>
                </c:pt>
                <c:pt idx="1">
                  <c:v>-30.36911138505522</c:v>
                </c:pt>
                <c:pt idx="2">
                  <c:v>-17.909821549276309</c:v>
                </c:pt>
                <c:pt idx="3">
                  <c:v>-7.7473165653838638</c:v>
                </c:pt>
                <c:pt idx="4">
                  <c:v>0</c:v>
                </c:pt>
                <c:pt idx="5">
                  <c:v>5.2290329942965084</c:v>
                </c:pt>
                <c:pt idx="6">
                  <c:v>7.8499435506671702</c:v>
                </c:pt>
                <c:pt idx="7">
                  <c:v>7.7843794888349542</c:v>
                </c:pt>
                <c:pt idx="8">
                  <c:v>4.9639484959119287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4-45F2-B201-763BCB408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32863"/>
        <c:axId val="105478943"/>
      </c:lineChart>
      <c:catAx>
        <c:axId val="9053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8943"/>
        <c:crosses val="autoZero"/>
        <c:auto val="1"/>
        <c:lblAlgn val="ctr"/>
        <c:lblOffset val="100"/>
        <c:noMultiLvlLbl val="0"/>
      </c:catAx>
      <c:valAx>
        <c:axId val="105478943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3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Yield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Dashboard!$C$24</c:f>
              <c:strCache>
                <c:ptCount val="1"/>
                <c:pt idx="0">
                  <c:v>Yield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Dashboard!$B$25:$B$32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</c:numCache>
            </c:numRef>
          </c:cat>
          <c:val>
            <c:numRef>
              <c:f>Dashboard!$C$25:$C$32</c:f>
              <c:numCache>
                <c:formatCode>0.00%</c:formatCode>
                <c:ptCount val="8"/>
                <c:pt idx="0">
                  <c:v>3.7719999999999997E-2</c:v>
                </c:pt>
                <c:pt idx="1">
                  <c:v>3.7990000000000003E-2</c:v>
                </c:pt>
                <c:pt idx="2">
                  <c:v>3.9609999999999999E-2</c:v>
                </c:pt>
                <c:pt idx="3">
                  <c:v>4.5179999999999998E-2</c:v>
                </c:pt>
                <c:pt idx="4">
                  <c:v>4.9160000000000002E-2</c:v>
                </c:pt>
                <c:pt idx="5">
                  <c:v>5.1639999999999998E-2</c:v>
                </c:pt>
                <c:pt idx="6">
                  <c:v>5.2699999999999997E-2</c:v>
                </c:pt>
                <c:pt idx="7">
                  <c:v>4.7399999999999998E-2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4-4398-9453-83C4DDBF4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734927"/>
        <c:axId val="1389735407"/>
      </c:lineChart>
      <c:catAx>
        <c:axId val="1389734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35407"/>
        <c:crosses val="autoZero"/>
        <c:auto val="1"/>
        <c:lblAlgn val="ctr"/>
        <c:lblOffset val="100"/>
        <c:noMultiLvlLbl val="0"/>
      </c:catAx>
      <c:valAx>
        <c:axId val="138973540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3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10 Year Gilt Duration vs Convexity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11A-41DC-B449-A222BACC30B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911A-41DC-B449-A222BACC3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234751"/>
        <c:axId val="1514235711"/>
      </c:lineChart>
      <c:catAx>
        <c:axId val="1514234751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35711"/>
        <c:crosses val="autoZero"/>
        <c:auto val="1"/>
        <c:lblAlgn val="ctr"/>
        <c:lblOffset val="100"/>
        <c:noMultiLvlLbl val="0"/>
      </c:catAx>
      <c:valAx>
        <c:axId val="151423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30 Year Gilt Duration vs Convexity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396-4C20-AE50-38EB0E1F5C2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5396-4C20-AE50-38EB0E1F5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285631"/>
        <c:axId val="1514272671"/>
      </c:lineChart>
      <c:catAx>
        <c:axId val="1514285631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72671"/>
        <c:crosses val="autoZero"/>
        <c:auto val="1"/>
        <c:lblAlgn val="ctr"/>
        <c:lblOffset val="100"/>
        <c:noMultiLvlLbl val="0"/>
      </c:catAx>
      <c:valAx>
        <c:axId val="151427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8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jpe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162546</xdr:rowOff>
    </xdr:from>
    <xdr:to>
      <xdr:col>20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515AF-2003-430E-BAB6-530C3F6A2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28</xdr:row>
      <xdr:rowOff>160982</xdr:rowOff>
    </xdr:from>
    <xdr:to>
      <xdr:col>20</xdr:col>
      <xdr:colOff>0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8CD802-2B34-4ED0-9C01-2FB9C7487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340576</xdr:colOff>
      <xdr:row>6</xdr:row>
      <xdr:rowOff>0</xdr:rowOff>
    </xdr:from>
    <xdr:to>
      <xdr:col>3</xdr:col>
      <xdr:colOff>57510</xdr:colOff>
      <xdr:row>22</xdr:row>
      <xdr:rowOff>13565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720232-40DC-4EE2-A91E-1DB751A21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CB0340-168F-4049-B60B-41C39E78E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9</xdr:col>
      <xdr:colOff>0</xdr:colOff>
      <xdr:row>74</xdr:row>
      <xdr:rowOff>1833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DC39A9-5DFC-4B6A-B0C9-903A98D82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</xdr:colOff>
      <xdr:row>54</xdr:row>
      <xdr:rowOff>0</xdr:rowOff>
    </xdr:from>
    <xdr:to>
      <xdr:col>19</xdr:col>
      <xdr:colOff>267219</xdr:colOff>
      <xdr:row>74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5D67EC-D713-464D-BD1D-41A437786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</xdr:colOff>
      <xdr:row>32</xdr:row>
      <xdr:rowOff>150253</xdr:rowOff>
    </xdr:from>
    <xdr:to>
      <xdr:col>8</xdr:col>
      <xdr:colOff>1</xdr:colOff>
      <xdr:row>53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1C0638-D8AD-56D9-AF21-A1CBE5CD3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11545</xdr:colOff>
      <xdr:row>26</xdr:row>
      <xdr:rowOff>161636</xdr:rowOff>
    </xdr:from>
    <xdr:to>
      <xdr:col>29</xdr:col>
      <xdr:colOff>0</xdr:colOff>
      <xdr:row>48</xdr:row>
      <xdr:rowOff>131636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BE8238E-5CF3-4BDD-8A5F-44DC85C44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49</xdr:row>
      <xdr:rowOff>0</xdr:rowOff>
    </xdr:from>
    <xdr:to>
      <xdr:col>29</xdr:col>
      <xdr:colOff>0</xdr:colOff>
      <xdr:row>70</xdr:row>
      <xdr:rowOff>141676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6315E5A-176F-43CA-B939-725A6C69B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21</xdr:col>
      <xdr:colOff>472226</xdr:colOff>
      <xdr:row>8</xdr:row>
      <xdr:rowOff>0</xdr:rowOff>
    </xdr:from>
    <xdr:to>
      <xdr:col>28</xdr:col>
      <xdr:colOff>159777</xdr:colOff>
      <xdr:row>19</xdr:row>
      <xdr:rowOff>118056</xdr:rowOff>
    </xdr:to>
    <xdr:pic>
      <xdr:nvPicPr>
        <xdr:cNvPr id="12" name="Picture 11" descr="Flag of the United Kingdom | History, Meaning, Colors &amp; Design | Britannica">
          <a:extLst>
            <a:ext uri="{FF2B5EF4-FFF2-40B4-BE49-F238E27FC236}">
              <a16:creationId xmlns:a16="http://schemas.microsoft.com/office/drawing/2014/main" id="{480BF1C5-ACD8-4557-85DF-F4AA4291A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8958" y="1674254"/>
          <a:ext cx="3969777" cy="2006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late">
  <a:themeElements>
    <a:clrScheme name="Slate">
      <a:dk1>
        <a:sysClr val="windowText" lastClr="000000"/>
      </a:dk1>
      <a:lt1>
        <a:sysClr val="window" lastClr="FFFFFF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Slate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lat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DBE0-370D-4096-9B8C-879BAFE5AC9D}">
  <dimension ref="B2:AA29"/>
  <sheetViews>
    <sheetView showGridLines="0" topLeftCell="I1" workbookViewId="0">
      <selection activeCell="P5" sqref="P5"/>
    </sheetView>
  </sheetViews>
  <sheetFormatPr defaultRowHeight="13.8" x14ac:dyDescent="0.25"/>
  <cols>
    <col min="2" max="2" width="27.109375" bestFit="1" customWidth="1"/>
    <col min="3" max="3" width="10.109375" bestFit="1" customWidth="1"/>
    <col min="4" max="4" width="11.21875" bestFit="1" customWidth="1"/>
    <col min="5" max="5" width="14.33203125" bestFit="1" customWidth="1"/>
    <col min="6" max="6" width="27.109375" bestFit="1" customWidth="1"/>
    <col min="7" max="7" width="10.109375" bestFit="1" customWidth="1"/>
    <col min="10" max="10" width="14.33203125" bestFit="1" customWidth="1"/>
    <col min="11" max="11" width="27.44140625" bestFit="1" customWidth="1"/>
    <col min="12" max="12" width="10.6640625" bestFit="1" customWidth="1"/>
    <col min="13" max="13" width="16.21875" bestFit="1" customWidth="1"/>
    <col min="14" max="14" width="8.77734375" bestFit="1" customWidth="1"/>
    <col min="15" max="15" width="10.5546875" bestFit="1" customWidth="1"/>
    <col min="16" max="16" width="17" bestFit="1" customWidth="1"/>
    <col min="17" max="17" width="14.33203125" bestFit="1" customWidth="1"/>
    <col min="18" max="18" width="20.77734375" bestFit="1" customWidth="1"/>
    <col min="20" max="20" width="14.33203125" bestFit="1" customWidth="1"/>
    <col min="21" max="21" width="8.77734375" bestFit="1" customWidth="1"/>
    <col min="22" max="22" width="10.5546875" bestFit="1" customWidth="1"/>
    <col min="23" max="23" width="17" bestFit="1" customWidth="1"/>
    <col min="25" max="26" width="14.33203125" bestFit="1" customWidth="1"/>
    <col min="27" max="27" width="20.77734375" bestFit="1" customWidth="1"/>
  </cols>
  <sheetData>
    <row r="2" spans="2:27" x14ac:dyDescent="0.25">
      <c r="B2" s="70" t="s">
        <v>3</v>
      </c>
      <c r="C2" s="70"/>
      <c r="F2" s="75" t="s">
        <v>4</v>
      </c>
      <c r="G2" s="75"/>
      <c r="J2" s="72" t="s">
        <v>27</v>
      </c>
      <c r="K2" s="73"/>
      <c r="L2" s="73"/>
      <c r="M2" s="73"/>
      <c r="N2" s="73"/>
      <c r="O2" s="73"/>
      <c r="P2" s="73"/>
      <c r="Q2" s="73"/>
      <c r="R2" s="74"/>
    </row>
    <row r="3" spans="2:27" x14ac:dyDescent="0.25">
      <c r="B3" s="26" t="s">
        <v>0</v>
      </c>
      <c r="C3" s="15">
        <f>'10 year Gilt (2)'!C3</f>
        <v>97.955380681620071</v>
      </c>
      <c r="F3" s="26" t="s">
        <v>0</v>
      </c>
      <c r="G3" s="15">
        <f>'30 year Gilt (2)'!C3</f>
        <v>86.576454352517374</v>
      </c>
      <c r="J3" s="34" t="s">
        <v>30</v>
      </c>
      <c r="K3" s="34" t="s">
        <v>38</v>
      </c>
      <c r="L3" s="34" t="s">
        <v>31</v>
      </c>
      <c r="M3" s="34" t="s">
        <v>32</v>
      </c>
      <c r="N3" s="34" t="s">
        <v>35</v>
      </c>
      <c r="O3" s="34" t="s">
        <v>34</v>
      </c>
      <c r="P3" s="34" t="s">
        <v>33</v>
      </c>
      <c r="Q3" s="34" t="s">
        <v>36</v>
      </c>
      <c r="R3" s="34" t="s">
        <v>37</v>
      </c>
      <c r="T3" s="34" t="s">
        <v>30</v>
      </c>
      <c r="U3" s="34" t="s">
        <v>35</v>
      </c>
      <c r="V3" s="34" t="s">
        <v>34</v>
      </c>
      <c r="W3" s="34" t="s">
        <v>33</v>
      </c>
      <c r="Y3" s="34" t="s">
        <v>30</v>
      </c>
      <c r="Z3" s="34" t="s">
        <v>36</v>
      </c>
      <c r="AA3" s="34" t="s">
        <v>37</v>
      </c>
    </row>
    <row r="4" spans="2:27" x14ac:dyDescent="0.25">
      <c r="B4" s="26" t="s">
        <v>5</v>
      </c>
      <c r="C4" s="15">
        <f>'10 year Gilt (2)'!C4</f>
        <v>100</v>
      </c>
      <c r="F4" s="26" t="s">
        <v>5</v>
      </c>
      <c r="G4" s="15">
        <f>'30 year Gilt (2)'!C4</f>
        <v>100</v>
      </c>
      <c r="J4" s="11">
        <v>-200</v>
      </c>
      <c r="K4" s="46">
        <f>J4/10000</f>
        <v>-0.02</v>
      </c>
      <c r="L4" s="47">
        <f>K4+$C$5</f>
        <v>2.5569999999999999E-2</v>
      </c>
      <c r="M4" s="93">
        <v>115.00927898017608</v>
      </c>
      <c r="N4" s="49">
        <f>M4-$M$8</f>
        <v>17.053898298556007</v>
      </c>
      <c r="O4" s="49">
        <f>-$C$28*K4*10000</f>
        <v>15.416422262589359</v>
      </c>
      <c r="P4" s="49">
        <f>(-$M$8*$C$18*K4)+(0.5*$M$8*$C$23*(K4^2))</f>
        <v>17.002749734566361</v>
      </c>
      <c r="Q4" s="49">
        <f>-($N4-O4)</f>
        <v>-1.6374760359666478</v>
      </c>
      <c r="R4" s="53">
        <f>($N4-P4)</f>
        <v>5.1148563989645623E-2</v>
      </c>
      <c r="T4" s="11">
        <v>-200</v>
      </c>
      <c r="U4" s="49">
        <v>16.772941110169924</v>
      </c>
      <c r="V4" s="49">
        <v>31.146277660128785</v>
      </c>
      <c r="W4" s="49">
        <v>37.506110312971686</v>
      </c>
      <c r="Y4" s="11">
        <v>-200</v>
      </c>
      <c r="Z4" s="49">
        <v>14.373336549958861</v>
      </c>
      <c r="AA4" s="53">
        <v>-20.733169202801761</v>
      </c>
    </row>
    <row r="5" spans="2:27" x14ac:dyDescent="0.25">
      <c r="B5" s="26" t="s">
        <v>1</v>
      </c>
      <c r="C5" s="28">
        <f>'10 year Gilt (2)'!C5</f>
        <v>4.5569999999999999E-2</v>
      </c>
      <c r="F5" s="26" t="s">
        <v>1</v>
      </c>
      <c r="G5" s="28">
        <f>'30 year Gilt (2)'!C5</f>
        <v>5.3400000000000003E-2</v>
      </c>
      <c r="J5" s="6">
        <v>-150</v>
      </c>
      <c r="K5" s="18">
        <f t="shared" ref="K5:K12" si="0">J5/10000</f>
        <v>-1.4999999999999999E-2</v>
      </c>
      <c r="L5" s="7">
        <f t="shared" ref="L5:L12" si="1">K5+$C$5</f>
        <v>3.057E-2</v>
      </c>
      <c r="M5" s="94">
        <v>110.42117546774358</v>
      </c>
      <c r="N5" s="50">
        <f t="shared" ref="N5:N12" si="2">M5-$M$8</f>
        <v>12.46579478612351</v>
      </c>
      <c r="O5" s="50">
        <f>-$C$28*K5*10000</f>
        <v>11.562316696942018</v>
      </c>
      <c r="P5" s="50">
        <f>(-$M$8*$C$18*K5)+(0.5*$M$8*$C$23*(K5^2))</f>
        <v>12.454625899929082</v>
      </c>
      <c r="Q5" s="50">
        <f t="shared" ref="Q5:Q12" si="3">-($N5-O5)</f>
        <v>-0.90347808918149219</v>
      </c>
      <c r="R5" s="54">
        <f t="shared" ref="R5:R12" si="4">($N5-P5)</f>
        <v>1.1168886194427685E-2</v>
      </c>
      <c r="T5" s="6">
        <v>-150</v>
      </c>
      <c r="U5" s="50">
        <v>12.285733637198021</v>
      </c>
      <c r="V5" s="50">
        <v>23.359708245096588</v>
      </c>
      <c r="W5" s="50">
        <v>26.937675157618418</v>
      </c>
      <c r="Y5" s="6">
        <v>-150</v>
      </c>
      <c r="Z5" s="50">
        <v>11.073974607898567</v>
      </c>
      <c r="AA5" s="54">
        <v>-14.651941520420397</v>
      </c>
    </row>
    <row r="6" spans="2:27" x14ac:dyDescent="0.25">
      <c r="B6" s="26" t="s">
        <v>6</v>
      </c>
      <c r="C6" s="28">
        <f>'10 year Gilt (2)'!C6</f>
        <v>4.2500000000000003E-2</v>
      </c>
      <c r="F6" s="26" t="s">
        <v>6</v>
      </c>
      <c r="G6" s="28">
        <f>'30 year Gilt (2)'!C6</f>
        <v>4.3749999999999997E-2</v>
      </c>
      <c r="J6" s="6">
        <v>-100</v>
      </c>
      <c r="K6" s="18">
        <f t="shared" si="0"/>
        <v>-0.01</v>
      </c>
      <c r="L6" s="7">
        <f t="shared" si="1"/>
        <v>3.5569999999999997E-2</v>
      </c>
      <c r="M6" s="94">
        <v>106.05755562861395</v>
      </c>
      <c r="N6" s="50">
        <f t="shared" si="2"/>
        <v>8.102174946993884</v>
      </c>
      <c r="O6" s="50">
        <f>-$C$28*K6*10000</f>
        <v>7.7082111312946795</v>
      </c>
      <c r="P6" s="50">
        <f>(-$M$8*$C$18*K6)+(0.5*$M$8*$C$23*(K6^2))</f>
        <v>8.1047929992889287</v>
      </c>
      <c r="Q6" s="50">
        <f t="shared" si="3"/>
        <v>-0.39396381569920447</v>
      </c>
      <c r="R6" s="54">
        <f t="shared" si="4"/>
        <v>-2.6180522950447482E-3</v>
      </c>
      <c r="T6" s="6">
        <v>-100</v>
      </c>
      <c r="U6" s="50">
        <v>8.0010007358599182</v>
      </c>
      <c r="V6" s="50">
        <v>15.573138830064392</v>
      </c>
      <c r="W6" s="50">
        <v>17.163845053672055</v>
      </c>
      <c r="Y6" s="6">
        <v>-100</v>
      </c>
      <c r="Z6" s="50">
        <v>7.5721380942044743</v>
      </c>
      <c r="AA6" s="54">
        <v>-9.1628443178121373</v>
      </c>
    </row>
    <row r="7" spans="2:27" x14ac:dyDescent="0.25">
      <c r="B7" s="26" t="s">
        <v>2</v>
      </c>
      <c r="C7" s="15">
        <f>'10 year Gilt (2)'!C7</f>
        <v>4.25</v>
      </c>
      <c r="F7" s="26" t="s">
        <v>2</v>
      </c>
      <c r="G7" s="15">
        <f>'30 year Gilt (2)'!C7</f>
        <v>4.375</v>
      </c>
      <c r="J7" s="6">
        <v>-50</v>
      </c>
      <c r="K7" s="18">
        <f t="shared" si="0"/>
        <v>-5.0000000000000001E-3</v>
      </c>
      <c r="L7" s="7">
        <f t="shared" si="1"/>
        <v>4.0570000000000002E-2</v>
      </c>
      <c r="M7" s="94">
        <v>101.90613961029092</v>
      </c>
      <c r="N7" s="50">
        <f t="shared" si="2"/>
        <v>3.9507589286708509</v>
      </c>
      <c r="O7" s="50">
        <f>-$C$28*K7*10000</f>
        <v>3.8541055656473397</v>
      </c>
      <c r="P7" s="50">
        <f>(-$M$8*$C$18*K7)+(0.5*$M$8*$C$23*(K7^2))</f>
        <v>3.9532510326459018</v>
      </c>
      <c r="Q7" s="50">
        <f t="shared" si="3"/>
        <v>-9.665336302351113E-2</v>
      </c>
      <c r="R7" s="54">
        <f t="shared" si="4"/>
        <v>-2.4921039750509522E-3</v>
      </c>
      <c r="T7" s="6">
        <v>-50</v>
      </c>
      <c r="U7" s="50">
        <v>3.9088755062860514</v>
      </c>
      <c r="V7" s="50">
        <v>7.7865694150321962</v>
      </c>
      <c r="W7" s="50">
        <v>8.1846200011325809</v>
      </c>
      <c r="Y7" s="6">
        <v>-50</v>
      </c>
      <c r="Z7" s="50">
        <v>3.8776939087461448</v>
      </c>
      <c r="AA7" s="54">
        <v>-4.2757444948465295</v>
      </c>
    </row>
    <row r="8" spans="2:27" x14ac:dyDescent="0.25">
      <c r="B8" s="27" t="s">
        <v>19</v>
      </c>
      <c r="C8" s="15">
        <f>'10 year Gilt (2)'!C8</f>
        <v>2.125</v>
      </c>
      <c r="F8" s="27" t="s">
        <v>19</v>
      </c>
      <c r="G8" s="15">
        <f>'30 year Gilt (2)'!C8</f>
        <v>2.1875</v>
      </c>
      <c r="J8" s="35">
        <v>0</v>
      </c>
      <c r="K8" s="38">
        <f t="shared" si="0"/>
        <v>0</v>
      </c>
      <c r="L8" s="41">
        <f t="shared" si="1"/>
        <v>4.5569999999999999E-2</v>
      </c>
      <c r="M8" s="95">
        <v>97.955380681620071</v>
      </c>
      <c r="N8" s="52">
        <f t="shared" si="2"/>
        <v>0</v>
      </c>
      <c r="O8" s="52">
        <f>-$C$28*K8*10000</f>
        <v>0</v>
      </c>
      <c r="P8" s="52">
        <f>(-$M$8*$C$18*K8)+(0.5*$M$8*$C$23*(K8^2))</f>
        <v>0</v>
      </c>
      <c r="Q8" s="52">
        <f t="shared" si="3"/>
        <v>0</v>
      </c>
      <c r="R8" s="56">
        <f t="shared" si="4"/>
        <v>0</v>
      </c>
      <c r="T8" s="35">
        <v>0</v>
      </c>
      <c r="U8" s="52">
        <v>0</v>
      </c>
      <c r="V8" s="52">
        <v>0</v>
      </c>
      <c r="W8" s="52">
        <v>0</v>
      </c>
      <c r="Y8" s="35">
        <v>0</v>
      </c>
      <c r="Z8" s="52">
        <v>0</v>
      </c>
      <c r="AA8" s="56">
        <v>0</v>
      </c>
    </row>
    <row r="9" spans="2:27" x14ac:dyDescent="0.25">
      <c r="J9" s="6">
        <v>50</v>
      </c>
      <c r="K9" s="18">
        <f t="shared" si="0"/>
        <v>5.0000000000000001E-3</v>
      </c>
      <c r="L9" s="7">
        <f t="shared" si="1"/>
        <v>5.0569999999999997E-2</v>
      </c>
      <c r="M9" s="94">
        <v>94.194418027893278</v>
      </c>
      <c r="N9" s="50">
        <f t="shared" si="2"/>
        <v>-3.7609626537267928</v>
      </c>
      <c r="O9" s="50">
        <f>-$C$28*K9*10000</f>
        <v>-3.8541055656473397</v>
      </c>
      <c r="P9" s="50">
        <f>(-$M$8*$C$18*K9)+(0.5*$M$8*$C$23*(K9^2))</f>
        <v>-3.7549600986487759</v>
      </c>
      <c r="Q9" s="50">
        <f t="shared" si="3"/>
        <v>-9.3142911920546911E-2</v>
      </c>
      <c r="R9" s="54">
        <f t="shared" si="4"/>
        <v>-6.0025550780169468E-3</v>
      </c>
      <c r="T9" s="6">
        <v>50</v>
      </c>
      <c r="U9" s="50">
        <v>-3.7345023385540514</v>
      </c>
      <c r="V9" s="50">
        <v>-7.7865694150321962</v>
      </c>
      <c r="W9" s="50">
        <v>-7.3900149497256873</v>
      </c>
      <c r="Y9" s="6">
        <v>50</v>
      </c>
      <c r="Z9" s="50">
        <v>-4.0520670764781448</v>
      </c>
      <c r="AA9" s="54">
        <v>3.6555126111716358</v>
      </c>
    </row>
    <row r="10" spans="2:27" x14ac:dyDescent="0.25">
      <c r="J10" s="6">
        <v>100</v>
      </c>
      <c r="K10" s="18">
        <f t="shared" si="0"/>
        <v>0.01</v>
      </c>
      <c r="L10" s="7">
        <f t="shared" si="1"/>
        <v>5.5570000000000001E-2</v>
      </c>
      <c r="M10" s="94">
        <v>90.613032798961711</v>
      </c>
      <c r="N10" s="50">
        <f t="shared" si="2"/>
        <v>-7.342347882658359</v>
      </c>
      <c r="O10" s="50">
        <f>-$C$28*K10*10000</f>
        <v>-7.7082111312946795</v>
      </c>
      <c r="P10" s="50">
        <f>(-$M$8*$C$18*K10)+(0.5*$M$8*$C$23*(K10^2))</f>
        <v>-7.3116292633004267</v>
      </c>
      <c r="Q10" s="50">
        <f t="shared" si="3"/>
        <v>-0.36586324863632047</v>
      </c>
      <c r="R10" s="54">
        <f t="shared" si="4"/>
        <v>-3.0718619357932297E-2</v>
      </c>
      <c r="T10" s="6">
        <v>100</v>
      </c>
      <c r="U10" s="50">
        <v>-7.3030526712571344</v>
      </c>
      <c r="V10" s="50">
        <v>-15.573138830064392</v>
      </c>
      <c r="W10" s="50">
        <v>-13.985424848044481</v>
      </c>
      <c r="Y10" s="6">
        <v>100</v>
      </c>
      <c r="Z10" s="50">
        <v>-8.2700861588072581</v>
      </c>
      <c r="AA10" s="54">
        <v>6.6823721767873465</v>
      </c>
    </row>
    <row r="11" spans="2:27" x14ac:dyDescent="0.25">
      <c r="B11" s="71" t="s">
        <v>12</v>
      </c>
      <c r="C11" s="71"/>
      <c r="D11" s="71"/>
      <c r="E11" s="71"/>
      <c r="J11" s="6">
        <v>150</v>
      </c>
      <c r="K11" s="18">
        <f t="shared" si="0"/>
        <v>1.4999999999999999E-2</v>
      </c>
      <c r="L11" s="7">
        <f t="shared" si="1"/>
        <v>6.0569999999999999E-2</v>
      </c>
      <c r="M11" s="94">
        <v>87.201607171814686</v>
      </c>
      <c r="N11" s="50">
        <f t="shared" si="2"/>
        <v>-10.753773509805384</v>
      </c>
      <c r="O11" s="50">
        <f>-$C$28*K11*10000</f>
        <v>-11.562316696942018</v>
      </c>
      <c r="P11" s="50">
        <f>(-$M$8*$C$18*K11)+(0.5*$M$8*$C$23*(K11^2))</f>
        <v>-10.67000749395495</v>
      </c>
      <c r="Q11" s="50">
        <f t="shared" si="3"/>
        <v>-0.80854318713663353</v>
      </c>
      <c r="R11" s="54">
        <f t="shared" si="4"/>
        <v>-8.3766015850434528E-2</v>
      </c>
      <c r="T11" s="6">
        <v>150</v>
      </c>
      <c r="U11" s="50">
        <v>-10.713641298227927</v>
      </c>
      <c r="V11" s="50">
        <v>-23.359708245096588</v>
      </c>
      <c r="W11" s="50">
        <v>-19.786229694956379</v>
      </c>
      <c r="Y11" s="6">
        <v>150</v>
      </c>
      <c r="Z11" s="50">
        <v>-12.646066946868661</v>
      </c>
      <c r="AA11" s="54">
        <v>9.0725883967284524</v>
      </c>
    </row>
    <row r="12" spans="2:27" x14ac:dyDescent="0.25">
      <c r="B12" s="25" t="s">
        <v>26</v>
      </c>
      <c r="C12" s="25" t="s">
        <v>25</v>
      </c>
      <c r="D12" s="25" t="s">
        <v>23</v>
      </c>
      <c r="E12" s="25" t="s">
        <v>24</v>
      </c>
      <c r="J12" s="12">
        <v>200</v>
      </c>
      <c r="K12" s="19">
        <f t="shared" si="0"/>
        <v>0.02</v>
      </c>
      <c r="L12" s="48">
        <f t="shared" si="1"/>
        <v>6.5570000000000003E-2</v>
      </c>
      <c r="M12" s="96">
        <v>83.951086207604078</v>
      </c>
      <c r="N12" s="51">
        <f t="shared" si="2"/>
        <v>-14.004294474015992</v>
      </c>
      <c r="O12" s="51">
        <f>-$C$28*K12*10000</f>
        <v>-15.416422262589359</v>
      </c>
      <c r="P12" s="51">
        <f>(-$M$8*$C$18*K12)+(0.5*$M$8*$C$23*(K12^2))</f>
        <v>-13.83009479061235</v>
      </c>
      <c r="Q12" s="51">
        <f t="shared" si="3"/>
        <v>-1.4121277885733665</v>
      </c>
      <c r="R12" s="55">
        <f t="shared" si="4"/>
        <v>-0.17419968340364278</v>
      </c>
      <c r="T12" s="12">
        <v>200</v>
      </c>
      <c r="U12" s="51">
        <v>-13.973850808669042</v>
      </c>
      <c r="V12" s="51">
        <v>-31.146277660128785</v>
      </c>
      <c r="W12" s="51">
        <v>-24.792429490461391</v>
      </c>
      <c r="Y12" s="12">
        <v>200</v>
      </c>
      <c r="Z12" s="51">
        <v>-17.172426851459743</v>
      </c>
      <c r="AA12" s="55">
        <v>10.818578681792349</v>
      </c>
    </row>
    <row r="13" spans="2:27" x14ac:dyDescent="0.25">
      <c r="B13" s="26" t="s">
        <v>27</v>
      </c>
      <c r="C13" s="21">
        <f>'10 Year Scenario'!F26</f>
        <v>8.2276994448555314</v>
      </c>
      <c r="D13" s="21">
        <f>'10 Year Scenario'!P26</f>
        <v>7.9713042627530477</v>
      </c>
      <c r="E13" s="21">
        <f>'10 Year Scenario'!Z26</f>
        <v>8.4651882565651757</v>
      </c>
    </row>
    <row r="14" spans="2:27" x14ac:dyDescent="0.25">
      <c r="B14" s="27" t="s">
        <v>28</v>
      </c>
      <c r="C14" s="24">
        <f>'30 Year Scenario'!F66</f>
        <v>15.98648208441092</v>
      </c>
      <c r="D14" s="24">
        <f>'30 Year Scenario'!P66</f>
        <v>12.986392407858503</v>
      </c>
      <c r="E14" s="24">
        <f>'30 Year Scenario'!Z66</f>
        <v>19.462825312595236</v>
      </c>
    </row>
    <row r="15" spans="2:27" x14ac:dyDescent="0.25">
      <c r="J15" s="72" t="s">
        <v>27</v>
      </c>
      <c r="K15" s="73"/>
      <c r="L15" s="73"/>
      <c r="M15" s="73"/>
      <c r="N15" s="73"/>
      <c r="O15" s="73"/>
      <c r="P15" s="73"/>
      <c r="Q15" s="73"/>
      <c r="R15" s="74"/>
    </row>
    <row r="16" spans="2:27" x14ac:dyDescent="0.25">
      <c r="B16" s="71" t="s">
        <v>13</v>
      </c>
      <c r="C16" s="71"/>
      <c r="D16" s="71"/>
      <c r="E16" s="71"/>
      <c r="J16" s="34" t="s">
        <v>30</v>
      </c>
      <c r="K16" s="34" t="s">
        <v>38</v>
      </c>
      <c r="L16" s="34" t="s">
        <v>31</v>
      </c>
      <c r="M16" s="34" t="s">
        <v>32</v>
      </c>
      <c r="N16" s="34" t="s">
        <v>35</v>
      </c>
      <c r="O16" s="34" t="s">
        <v>34</v>
      </c>
      <c r="P16" s="34" t="s">
        <v>33</v>
      </c>
      <c r="Q16" s="34" t="s">
        <v>36</v>
      </c>
      <c r="R16" s="34" t="s">
        <v>37</v>
      </c>
      <c r="T16" s="34" t="s">
        <v>30</v>
      </c>
      <c r="U16" s="34" t="s">
        <v>35</v>
      </c>
      <c r="V16" s="34" t="s">
        <v>34</v>
      </c>
      <c r="W16" s="34" t="s">
        <v>33</v>
      </c>
      <c r="Y16" s="34" t="s">
        <v>30</v>
      </c>
      <c r="Z16" s="34" t="s">
        <v>36</v>
      </c>
      <c r="AA16" s="34" t="s">
        <v>37</v>
      </c>
    </row>
    <row r="17" spans="2:27" x14ac:dyDescent="0.25">
      <c r="B17" s="25" t="s">
        <v>26</v>
      </c>
      <c r="C17" s="25" t="s">
        <v>25</v>
      </c>
      <c r="D17" s="25" t="s">
        <v>23</v>
      </c>
      <c r="E17" s="25" t="s">
        <v>24</v>
      </c>
      <c r="J17" s="11">
        <v>-200</v>
      </c>
      <c r="K17" s="46">
        <f>J17/10000</f>
        <v>-0.02</v>
      </c>
      <c r="L17" s="47">
        <f>K17+$G$5</f>
        <v>3.3399999999999999E-2</v>
      </c>
      <c r="M17" s="49">
        <v>120.4732822939354</v>
      </c>
      <c r="N17" s="49">
        <f>M17-$M$21</f>
        <v>33.778840864860626</v>
      </c>
      <c r="O17" s="49">
        <f>-$C$29*K17*10000</f>
        <v>26.277822981551907</v>
      </c>
      <c r="P17" s="49">
        <f>(-$M$21*$C$19*K17)+(0.5*$M$21*$C$24*(K17^2))</f>
        <v>32.513765986719193</v>
      </c>
      <c r="Q17" s="49">
        <f>-($N17-O17)</f>
        <v>-7.5010178833087195</v>
      </c>
      <c r="R17" s="53">
        <f>($N17-P17)</f>
        <v>1.2650748781414336</v>
      </c>
      <c r="T17" s="11">
        <v>-200</v>
      </c>
      <c r="U17" s="49">
        <v>33.778840864860626</v>
      </c>
      <c r="V17" s="49">
        <v>52.523234137535987</v>
      </c>
      <c r="W17" s="49">
        <v>78.767933876923365</v>
      </c>
      <c r="Y17" s="11">
        <v>-200</v>
      </c>
      <c r="Z17" s="49">
        <v>18.74439327267536</v>
      </c>
      <c r="AA17" s="53">
        <v>-44.989093012062739</v>
      </c>
    </row>
    <row r="18" spans="2:27" x14ac:dyDescent="0.25">
      <c r="B18" s="26" t="s">
        <v>27</v>
      </c>
      <c r="C18" s="21">
        <f>'10 Year Scenario'!F27</f>
        <v>7.8691043592064904</v>
      </c>
      <c r="D18" s="21">
        <f>'10 Year Scenario'!P27</f>
        <v>7.6238838745880688</v>
      </c>
      <c r="E18" s="21">
        <f>'10 Year Scenario'!Z26</f>
        <v>8.4651882565651757</v>
      </c>
      <c r="J18" s="6">
        <v>-150</v>
      </c>
      <c r="K18" s="18">
        <f t="shared" ref="K18:K25" si="5">J18/10000</f>
        <v>-1.4999999999999999E-2</v>
      </c>
      <c r="L18" s="7">
        <f t="shared" ref="L18:L25" si="6">K18+$G$5</f>
        <v>3.8400000000000004E-2</v>
      </c>
      <c r="M18" s="50">
        <v>110.50218869486891</v>
      </c>
      <c r="N18" s="50">
        <f t="shared" ref="N18:N25" si="7">M18-$M$21</f>
        <v>23.807747265794134</v>
      </c>
      <c r="O18" s="50">
        <f>-$C$29*K18*10000</f>
        <v>19.70836723616393</v>
      </c>
      <c r="P18" s="50">
        <f>(-$M$21*$C$19*K18)+(0.5*$M$21*$C$24*(K18^2))</f>
        <v>23.222799856246731</v>
      </c>
      <c r="Q18" s="50">
        <f t="shared" ref="Q18:Q25" si="8">-($N18-O18)</f>
        <v>-4.0993800296302041</v>
      </c>
      <c r="R18" s="54">
        <f t="shared" ref="R18:R25" si="9">($N18-P18)</f>
        <v>0.58494740954740365</v>
      </c>
      <c r="T18" s="6">
        <v>-150</v>
      </c>
      <c r="U18" s="50">
        <v>23.807747265794134</v>
      </c>
      <c r="V18" s="50">
        <v>39.392425603151999</v>
      </c>
      <c r="W18" s="50">
        <v>54.176858650849354</v>
      </c>
      <c r="Y18" s="6">
        <v>-150</v>
      </c>
      <c r="Z18" s="50">
        <v>15.584678337357865</v>
      </c>
      <c r="AA18" s="54">
        <v>-30.36911138505522</v>
      </c>
    </row>
    <row r="19" spans="2:27" x14ac:dyDescent="0.25">
      <c r="B19" s="27" t="s">
        <v>28</v>
      </c>
      <c r="C19" s="24">
        <f>'30 Year Scenario'!F67</f>
        <v>15.176079442197571</v>
      </c>
      <c r="D19" s="24">
        <f>'30 Year Scenario'!P67</f>
        <v>12.328073293960987</v>
      </c>
      <c r="E19" s="24">
        <f>'30 Year Scenario'!Z67</f>
        <v>18.476196423576265</v>
      </c>
      <c r="G19" s="29"/>
      <c r="J19" s="6">
        <v>-100</v>
      </c>
      <c r="K19" s="18">
        <f t="shared" si="5"/>
        <v>-0.01</v>
      </c>
      <c r="L19" s="7">
        <f t="shared" si="6"/>
        <v>4.3400000000000001E-2</v>
      </c>
      <c r="M19" s="50">
        <v>101.6364644758026</v>
      </c>
      <c r="N19" s="50">
        <f t="shared" si="7"/>
        <v>14.942023046727826</v>
      </c>
      <c r="O19" s="50">
        <f>-$C$29*K19*10000</f>
        <v>13.138911490775953</v>
      </c>
      <c r="P19" s="50">
        <f>(-$M$21*$C$19*K19)+(0.5*$M$21*$C$24*(K19^2))</f>
        <v>14.706850148302713</v>
      </c>
      <c r="Q19" s="50">
        <f t="shared" si="8"/>
        <v>-1.8031115559518724</v>
      </c>
      <c r="R19" s="54">
        <f t="shared" si="9"/>
        <v>0.23517289842511246</v>
      </c>
      <c r="T19" s="6">
        <v>-100</v>
      </c>
      <c r="U19" s="50">
        <v>14.942023046727826</v>
      </c>
      <c r="V19" s="50">
        <v>26.261617068767993</v>
      </c>
      <c r="W19" s="50">
        <v>32.851844596004135</v>
      </c>
      <c r="Y19" s="6">
        <v>-100</v>
      </c>
      <c r="Z19" s="50">
        <v>11.319594022040167</v>
      </c>
      <c r="AA19" s="54">
        <v>-17.909821549276309</v>
      </c>
    </row>
    <row r="20" spans="2:27" x14ac:dyDescent="0.25">
      <c r="F20" s="91"/>
      <c r="J20" s="6">
        <v>-50</v>
      </c>
      <c r="K20" s="18">
        <f t="shared" si="5"/>
        <v>-5.0000000000000001E-3</v>
      </c>
      <c r="L20" s="7">
        <f t="shared" si="6"/>
        <v>4.8400000000000006E-2</v>
      </c>
      <c r="M20" s="50">
        <v>93.740016576078588</v>
      </c>
      <c r="N20" s="50">
        <f t="shared" si="7"/>
        <v>7.0455751470038166</v>
      </c>
      <c r="O20" s="50">
        <f>-$C$29*K20*10000</f>
        <v>6.5694557453879767</v>
      </c>
      <c r="P20" s="50">
        <f>(-$M$21*$C$19*K20)+(0.5*$M$21*$C$24*(K20^2))</f>
        <v>6.965916862887136</v>
      </c>
      <c r="Q20" s="50">
        <f t="shared" si="8"/>
        <v>-0.47611940161583988</v>
      </c>
      <c r="R20" s="54">
        <f t="shared" si="9"/>
        <v>7.9658284116680633E-2</v>
      </c>
      <c r="T20" s="6">
        <v>-50</v>
      </c>
      <c r="U20" s="50">
        <v>7.0455751470038166</v>
      </c>
      <c r="V20" s="50">
        <v>13.130808534383997</v>
      </c>
      <c r="W20" s="50">
        <v>14.79289171238768</v>
      </c>
      <c r="Y20" s="6">
        <v>-50</v>
      </c>
      <c r="Z20" s="50">
        <v>6.08523338738018</v>
      </c>
      <c r="AA20" s="54">
        <v>-7.7473165653838638</v>
      </c>
    </row>
    <row r="21" spans="2:27" x14ac:dyDescent="0.25">
      <c r="B21" s="71" t="s">
        <v>14</v>
      </c>
      <c r="C21" s="71"/>
      <c r="D21" s="71"/>
      <c r="E21" s="71"/>
      <c r="F21" s="91"/>
      <c r="J21" s="35">
        <v>0</v>
      </c>
      <c r="K21" s="38">
        <f t="shared" si="5"/>
        <v>0</v>
      </c>
      <c r="L21" s="41">
        <f t="shared" si="6"/>
        <v>5.3400000000000003E-2</v>
      </c>
      <c r="M21" s="52">
        <v>86.694441429074772</v>
      </c>
      <c r="N21" s="52">
        <f t="shared" si="7"/>
        <v>0</v>
      </c>
      <c r="O21" s="52">
        <f>-$C$29*K21*10000</f>
        <v>0</v>
      </c>
      <c r="P21" s="52">
        <f>(-$M$21*$C$19*K21)+(0.5*$M$21*$C$24*(K21^2))</f>
        <v>0</v>
      </c>
      <c r="Q21" s="52">
        <f t="shared" si="8"/>
        <v>0</v>
      </c>
      <c r="R21" s="56">
        <f t="shared" si="9"/>
        <v>0</v>
      </c>
      <c r="T21" s="35">
        <v>0</v>
      </c>
      <c r="U21" s="52">
        <v>0</v>
      </c>
      <c r="V21" s="52">
        <v>0</v>
      </c>
      <c r="W21" s="52">
        <v>0</v>
      </c>
      <c r="Y21" s="35">
        <v>0</v>
      </c>
      <c r="Z21" s="52">
        <v>0</v>
      </c>
      <c r="AA21" s="56">
        <v>0</v>
      </c>
    </row>
    <row r="22" spans="2:27" x14ac:dyDescent="0.25">
      <c r="B22" s="25" t="s">
        <v>26</v>
      </c>
      <c r="C22" s="25" t="s">
        <v>25</v>
      </c>
      <c r="D22" s="25" t="s">
        <v>23</v>
      </c>
      <c r="E22" s="25" t="s">
        <v>24</v>
      </c>
      <c r="F22" s="91"/>
      <c r="J22" s="6">
        <v>50</v>
      </c>
      <c r="K22" s="18">
        <f t="shared" si="5"/>
        <v>5.0000000000000001E-3</v>
      </c>
      <c r="L22" s="7">
        <f t="shared" si="6"/>
        <v>5.8400000000000001E-2</v>
      </c>
      <c r="M22" s="50">
        <v>80.396643882212373</v>
      </c>
      <c r="N22" s="50">
        <f t="shared" si="7"/>
        <v>-6.2977975468623981</v>
      </c>
      <c r="O22" s="50">
        <f>-$C$29*K22*10000</f>
        <v>-6.5694557453879767</v>
      </c>
      <c r="P22" s="50">
        <f>(-$M$21*$C$19*K22)+(0.5*$M$21*$C$24*(K22^2))</f>
        <v>-6.1909004403586945</v>
      </c>
      <c r="Q22" s="50">
        <f t="shared" si="8"/>
        <v>-0.2716581985255786</v>
      </c>
      <c r="R22" s="54">
        <f t="shared" si="9"/>
        <v>-0.10689710650370365</v>
      </c>
      <c r="T22" s="6">
        <v>50</v>
      </c>
      <c r="U22" s="50">
        <v>-6.2977975468623981</v>
      </c>
      <c r="V22" s="50">
        <v>-13.130808534383997</v>
      </c>
      <c r="W22" s="50">
        <v>-11.526830541158906</v>
      </c>
      <c r="Y22" s="6">
        <v>50</v>
      </c>
      <c r="Z22" s="50">
        <v>-6.8330109875215985</v>
      </c>
      <c r="AA22" s="54">
        <v>5.2290329942965084</v>
      </c>
    </row>
    <row r="23" spans="2:27" x14ac:dyDescent="0.25">
      <c r="B23" s="26" t="s">
        <v>27</v>
      </c>
      <c r="C23" s="21">
        <f>'10 Year Scenario'!F28</f>
        <v>80.971941558421051</v>
      </c>
      <c r="D23" s="21">
        <f>'10 Year Scenario'!P28</f>
        <v>73.830123482353045</v>
      </c>
      <c r="E23" s="21">
        <f>'10 Year Scenario'!Z28</f>
        <v>80.030609407542272</v>
      </c>
      <c r="F23" s="91"/>
      <c r="J23" s="6">
        <v>100</v>
      </c>
      <c r="K23" s="18">
        <f t="shared" si="5"/>
        <v>0.01</v>
      </c>
      <c r="L23" s="7">
        <f t="shared" si="6"/>
        <v>6.3399999999999998E-2</v>
      </c>
      <c r="M23" s="50">
        <v>74.756785068652903</v>
      </c>
      <c r="N23" s="50">
        <f t="shared" si="7"/>
        <v>-11.937656360421869</v>
      </c>
      <c r="O23" s="50">
        <f>-$C$29*K23*10000</f>
        <v>-13.138911490775953</v>
      </c>
      <c r="P23" s="50">
        <f>(-$M$21*$C$19*K23)+(0.5*$M$21*$C$24*(K23^2))</f>
        <v>-11.606784458188947</v>
      </c>
      <c r="Q23" s="50">
        <f t="shared" si="8"/>
        <v>-1.2012551303540846</v>
      </c>
      <c r="R23" s="54">
        <f t="shared" si="9"/>
        <v>-0.3308719022329214</v>
      </c>
      <c r="T23" s="6">
        <v>100</v>
      </c>
      <c r="U23" s="50">
        <v>-11.937656360421869</v>
      </c>
      <c r="V23" s="50">
        <v>-26.261617068767993</v>
      </c>
      <c r="W23" s="50">
        <v>-19.787599911089039</v>
      </c>
      <c r="Y23" s="6">
        <v>100</v>
      </c>
      <c r="Z23" s="50">
        <v>-14.323960708346124</v>
      </c>
      <c r="AA23" s="54">
        <v>7.8499435506671702</v>
      </c>
    </row>
    <row r="24" spans="2:27" x14ac:dyDescent="0.25">
      <c r="B24" s="27" t="s">
        <v>28</v>
      </c>
      <c r="C24" s="24">
        <f>'30 Year Scenario'!F68</f>
        <v>357.58528909260536</v>
      </c>
      <c r="D24" s="24">
        <f>'30 Year Scenario'!P68</f>
        <v>258.69984545541956</v>
      </c>
      <c r="E24" s="24">
        <f>'30 Year Scenario'!Z68</f>
        <v>476.00867260778614</v>
      </c>
      <c r="F24" s="91"/>
      <c r="J24" s="6">
        <v>150</v>
      </c>
      <c r="K24" s="18">
        <f t="shared" si="5"/>
        <v>1.4999999999999999E-2</v>
      </c>
      <c r="L24" s="7">
        <f t="shared" si="6"/>
        <v>6.8400000000000002E-2</v>
      </c>
      <c r="M24" s="50">
        <v>69.696512808119323</v>
      </c>
      <c r="N24" s="50">
        <f t="shared" si="7"/>
        <v>-16.997928620955449</v>
      </c>
      <c r="O24" s="50">
        <f>-$C$29*K24*10000</f>
        <v>-19.70836723616393</v>
      </c>
      <c r="P24" s="50">
        <f>(-$M$21*$C$19*K24)+(0.5*$M$21*$C$24*(K24^2))</f>
        <v>-16.247652053490761</v>
      </c>
      <c r="Q24" s="50">
        <f t="shared" si="8"/>
        <v>-2.7104386152084814</v>
      </c>
      <c r="R24" s="54">
        <f t="shared" si="9"/>
        <v>-0.75027656746468807</v>
      </c>
      <c r="T24" s="6">
        <v>150</v>
      </c>
      <c r="U24" s="50">
        <v>-16.997928620955449</v>
      </c>
      <c r="V24" s="50">
        <v>-39.392425603151999</v>
      </c>
      <c r="W24" s="50">
        <v>-24.782308109790403</v>
      </c>
      <c r="Y24" s="6">
        <v>150</v>
      </c>
      <c r="Z24" s="50">
        <v>-22.39449698219655</v>
      </c>
      <c r="AA24" s="54">
        <v>7.7843794888349542</v>
      </c>
    </row>
    <row r="25" spans="2:27" x14ac:dyDescent="0.25">
      <c r="F25" s="91"/>
      <c r="J25" s="12">
        <v>200</v>
      </c>
      <c r="K25" s="19">
        <f t="shared" si="5"/>
        <v>0.02</v>
      </c>
      <c r="L25" s="48">
        <f t="shared" si="6"/>
        <v>7.3400000000000007E-2</v>
      </c>
      <c r="M25" s="51">
        <v>65.147434787723711</v>
      </c>
      <c r="N25" s="51">
        <f t="shared" si="7"/>
        <v>-21.547006641351061</v>
      </c>
      <c r="O25" s="51">
        <f>-$C$29*K25*10000</f>
        <v>-26.277822981551907</v>
      </c>
      <c r="P25" s="51">
        <f>(-$M$21*$C$19*K25)+(0.5*$M$21*$C$24*(K25^2))</f>
        <v>-20.113503226264132</v>
      </c>
      <c r="Q25" s="51">
        <f t="shared" si="8"/>
        <v>-4.7308163402008461</v>
      </c>
      <c r="R25" s="55">
        <f t="shared" si="9"/>
        <v>-1.4335034150869284</v>
      </c>
      <c r="T25" s="12">
        <v>200</v>
      </c>
      <c r="U25" s="51">
        <v>-21.547006641351061</v>
      </c>
      <c r="V25" s="51">
        <v>-52.523234137535987</v>
      </c>
      <c r="W25" s="51">
        <v>-26.510955137262989</v>
      </c>
      <c r="Y25" s="12">
        <v>200</v>
      </c>
      <c r="Z25" s="51">
        <v>-30.976227496184926</v>
      </c>
      <c r="AA25" s="55">
        <v>4.9639484959119287</v>
      </c>
    </row>
    <row r="26" spans="2:27" x14ac:dyDescent="0.25">
      <c r="B26" s="71" t="s">
        <v>29</v>
      </c>
      <c r="C26" s="71"/>
      <c r="D26" s="71"/>
      <c r="E26" s="71"/>
      <c r="F26" s="91"/>
    </row>
    <row r="27" spans="2:27" x14ac:dyDescent="0.25">
      <c r="B27" s="25" t="s">
        <v>26</v>
      </c>
      <c r="C27" s="25" t="s">
        <v>25</v>
      </c>
      <c r="D27" s="25" t="s">
        <v>23</v>
      </c>
      <c r="E27" s="25" t="s">
        <v>24</v>
      </c>
      <c r="F27" s="91"/>
    </row>
    <row r="28" spans="2:27" x14ac:dyDescent="0.25">
      <c r="B28" s="26" t="s">
        <v>27</v>
      </c>
      <c r="C28" s="15">
        <f>'10 Year Scenario'!F29</f>
        <v>7.7082111312946788E-2</v>
      </c>
      <c r="D28" s="15">
        <f>'10 Year Scenario'!P29</f>
        <v>6.3159774374386191E-2</v>
      </c>
      <c r="E28" s="15">
        <f>'10 Year Scenario'!Z29</f>
        <v>9.4805764052466837E-2</v>
      </c>
      <c r="F28" s="91"/>
    </row>
    <row r="29" spans="2:27" x14ac:dyDescent="0.25">
      <c r="B29" s="27" t="s">
        <v>28</v>
      </c>
      <c r="C29" s="33">
        <f>'30 Year Scenario'!F69</f>
        <v>0.13138911490775954</v>
      </c>
      <c r="D29" s="33">
        <f>'30 Year Scenario'!P69</f>
        <v>8.1445870229843273E-2</v>
      </c>
      <c r="E29" s="33">
        <f>'30 Year Scenario'!Z69</f>
        <v>0.23354801106363179</v>
      </c>
    </row>
  </sheetData>
  <mergeCells count="8">
    <mergeCell ref="B11:E11"/>
    <mergeCell ref="B16:E16"/>
    <mergeCell ref="B21:E21"/>
    <mergeCell ref="B26:E26"/>
    <mergeCell ref="J2:R2"/>
    <mergeCell ref="J15:R15"/>
    <mergeCell ref="B2:C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2BD7-A62A-4947-8E7A-EA03CCA7A7D2}">
  <dimension ref="B2:R39"/>
  <sheetViews>
    <sheetView showGridLines="0" topLeftCell="A13" workbookViewId="0">
      <selection activeCell="H27" sqref="H27:H35"/>
    </sheetView>
  </sheetViews>
  <sheetFormatPr defaultRowHeight="13.8" x14ac:dyDescent="0.25"/>
  <cols>
    <col min="2" max="2" width="27.109375" bestFit="1" customWidth="1"/>
    <col min="3" max="3" width="10.109375" bestFit="1" customWidth="1"/>
    <col min="5" max="5" width="10.33203125" customWidth="1"/>
    <col min="6" max="6" width="7.109375" bestFit="1" customWidth="1"/>
    <col min="7" max="7" width="10.77734375" bestFit="1" customWidth="1"/>
    <col min="8" max="8" width="9.77734375" bestFit="1" customWidth="1"/>
    <col min="9" max="9" width="21.33203125" bestFit="1" customWidth="1"/>
    <col min="10" max="10" width="13.6640625" bestFit="1" customWidth="1"/>
    <col min="11" max="11" width="16" bestFit="1" customWidth="1"/>
    <col min="12" max="13" width="13.33203125" customWidth="1"/>
    <col min="14" max="14" width="6.21875" bestFit="1" customWidth="1"/>
    <col min="15" max="15" width="8.77734375" bestFit="1" customWidth="1"/>
    <col min="16" max="16" width="22.33203125" bestFit="1" customWidth="1"/>
    <col min="17" max="17" width="23.44140625" bestFit="1" customWidth="1"/>
  </cols>
  <sheetData>
    <row r="2" spans="2:18" x14ac:dyDescent="0.25">
      <c r="B2" s="70" t="s">
        <v>3</v>
      </c>
      <c r="C2" s="70"/>
      <c r="F2" s="9" t="s">
        <v>7</v>
      </c>
      <c r="G2" s="9" t="s">
        <v>8</v>
      </c>
      <c r="H2" s="9" t="s">
        <v>9</v>
      </c>
      <c r="I2" s="9" t="s">
        <v>15</v>
      </c>
      <c r="J2" s="9" t="s">
        <v>10</v>
      </c>
      <c r="K2" s="9" t="s">
        <v>11</v>
      </c>
      <c r="L2" s="5"/>
      <c r="M2" s="5"/>
      <c r="N2" s="25" t="s">
        <v>16</v>
      </c>
      <c r="O2" s="25" t="s">
        <v>0</v>
      </c>
      <c r="P2" s="25" t="s">
        <v>17</v>
      </c>
      <c r="Q2" s="25" t="s">
        <v>18</v>
      </c>
    </row>
    <row r="3" spans="2:18" x14ac:dyDescent="0.25">
      <c r="B3" s="26" t="s">
        <v>0</v>
      </c>
      <c r="C3" s="13">
        <f>H23</f>
        <v>97.955380681620071</v>
      </c>
      <c r="F3" s="6">
        <v>0.5</v>
      </c>
      <c r="G3" s="80">
        <f>$C$8</f>
        <v>2.125</v>
      </c>
      <c r="H3" s="80">
        <f>G3/(1+$C$5)^F3</f>
        <v>2.0781762511144657</v>
      </c>
      <c r="I3" s="28">
        <f>H3/$H$23</f>
        <v>2.1215539530891801E-2</v>
      </c>
      <c r="J3" s="81">
        <f>I3*F3</f>
        <v>1.0607769765445901E-2</v>
      </c>
      <c r="K3" s="81">
        <f>F3*H3*(F3+0.5)</f>
        <v>1.0390881255572328</v>
      </c>
      <c r="N3" s="18">
        <v>0.01</v>
      </c>
      <c r="O3" s="13">
        <v>131.64412342420593</v>
      </c>
      <c r="P3" s="13">
        <f>$H$23*(1-$C$12*(N3-$C$5))</f>
        <v>125.33813818719729</v>
      </c>
      <c r="Q3" s="13">
        <f>(1+((-$C$12*(N3-$C$5))+(0.5*$C$13*(N3-$C$5)^2)))*$H$23</f>
        <v>130.11146783634467</v>
      </c>
      <c r="R3" s="69"/>
    </row>
    <row r="4" spans="2:18" x14ac:dyDescent="0.25">
      <c r="B4" s="26" t="s">
        <v>5</v>
      </c>
      <c r="C4" s="13">
        <v>100</v>
      </c>
      <c r="D4" s="3"/>
      <c r="F4" s="79">
        <v>1</v>
      </c>
      <c r="G4" s="80">
        <f>$C$8</f>
        <v>2.125</v>
      </c>
      <c r="H4" s="80">
        <f>G4/(1+$C$5)^F4</f>
        <v>2.0323842497393763</v>
      </c>
      <c r="I4" s="28">
        <f>H4/$H$23</f>
        <v>2.0748061368319751E-2</v>
      </c>
      <c r="J4" s="21">
        <f>I4*F4</f>
        <v>2.0748061368319751E-2</v>
      </c>
      <c r="K4" s="81">
        <f t="shared" ref="K4:K22" si="0">F4*H4*(F4+0.5)</f>
        <v>3.0485763746090644</v>
      </c>
      <c r="N4" s="18">
        <v>1.4999999999999999E-2</v>
      </c>
      <c r="O4" s="13">
        <v>126.47024476210393</v>
      </c>
      <c r="P4" s="13">
        <f>$H$23*(1-$C$12*(N4-$C$5))</f>
        <v>121.48900162470399</v>
      </c>
      <c r="Q4" s="13">
        <f>(1+((-$C$12*(N4-$C$5))+(0.5*$C$13*(N4-$C$5)^2)))*$H$23</f>
        <v>125.0146952883653</v>
      </c>
      <c r="R4" s="69"/>
    </row>
    <row r="5" spans="2:18" x14ac:dyDescent="0.25">
      <c r="B5" s="26" t="s">
        <v>1</v>
      </c>
      <c r="C5" s="7">
        <v>4.5569999999999999E-2</v>
      </c>
      <c r="F5" s="79">
        <v>1.5</v>
      </c>
      <c r="G5" s="80">
        <f>$C$8</f>
        <v>2.125</v>
      </c>
      <c r="H5" s="80">
        <f>G5/(1+$C$5)^F5</f>
        <v>1.9876012616223355</v>
      </c>
      <c r="I5" s="28">
        <f>H5/$H$23</f>
        <v>2.0290883949321228E-2</v>
      </c>
      <c r="J5" s="21">
        <f>I5*F5</f>
        <v>3.0436325923981843E-2</v>
      </c>
      <c r="K5" s="81">
        <f t="shared" si="0"/>
        <v>5.9628037848670061</v>
      </c>
      <c r="N5" s="18">
        <v>0.02</v>
      </c>
      <c r="O5" s="13">
        <v>121.53251061991642</v>
      </c>
      <c r="P5" s="13">
        <f>$H$23*(1-$C$12*(N5-$C$5))</f>
        <v>117.63986506221072</v>
      </c>
      <c r="Q5" s="13">
        <f>(1+((-$C$12*(N5-$C$5))+(0.5*$C$13*(N5-$C$5)^2)))*$H$23</f>
        <v>120.10655835960064</v>
      </c>
      <c r="R5" s="69"/>
    </row>
    <row r="6" spans="2:18" x14ac:dyDescent="0.25">
      <c r="B6" s="26" t="s">
        <v>6</v>
      </c>
      <c r="C6" s="8">
        <v>4.2500000000000003E-2</v>
      </c>
      <c r="F6" s="79">
        <v>2</v>
      </c>
      <c r="G6" s="80">
        <f>$C$8</f>
        <v>2.125</v>
      </c>
      <c r="H6" s="80">
        <f>G6/(1+$C$5)^F6</f>
        <v>1.9438050534535003</v>
      </c>
      <c r="I6" s="28">
        <f>H6/$H$23</f>
        <v>1.9843780300046628E-2</v>
      </c>
      <c r="J6" s="21">
        <f>I6*F6</f>
        <v>3.9687560600093257E-2</v>
      </c>
      <c r="K6" s="81">
        <f t="shared" si="0"/>
        <v>9.7190252672675008</v>
      </c>
      <c r="N6" s="18">
        <v>2.5000000000000001E-2</v>
      </c>
      <c r="O6" s="13">
        <v>116.81930758590345</v>
      </c>
      <c r="P6" s="13">
        <f>$H$23*(1-$C$12*(N6-$C$5))</f>
        <v>113.79072849971743</v>
      </c>
      <c r="Q6" s="13">
        <f>(1+((-$C$12*(N6-$C$5))+(0.5*$C$13*(N6-$C$5)^2)))*$H$23</f>
        <v>115.38705705005069</v>
      </c>
      <c r="R6" s="69"/>
    </row>
    <row r="7" spans="2:18" x14ac:dyDescent="0.25">
      <c r="B7" s="26" t="s">
        <v>2</v>
      </c>
      <c r="C7" s="78">
        <f>C4*C6</f>
        <v>4.25</v>
      </c>
      <c r="F7" s="79">
        <v>2.5</v>
      </c>
      <c r="G7" s="80">
        <f>$C$8</f>
        <v>2.125</v>
      </c>
      <c r="H7" s="80">
        <f>G7/(1+$C$5)^F7</f>
        <v>1.9009738818274582</v>
      </c>
      <c r="I7" s="28">
        <f>H7/$H$23</f>
        <v>1.9406528447948226E-2</v>
      </c>
      <c r="J7" s="21">
        <f>I7*F7</f>
        <v>4.8516321119870566E-2</v>
      </c>
      <c r="K7" s="81">
        <f t="shared" si="0"/>
        <v>14.257304113705935</v>
      </c>
      <c r="N7" s="18">
        <v>0.03</v>
      </c>
      <c r="O7" s="13">
        <v>112.31962627514385</v>
      </c>
      <c r="P7" s="13">
        <f>$H$23*(1-$C$12*(N7-$C$5))</f>
        <v>109.94159193722416</v>
      </c>
      <c r="Q7" s="13">
        <f>(1+((-$C$12*(N7-$C$5))+(0.5*$C$13*(N7-$C$5)^2)))*$H$23</f>
        <v>110.85619135971545</v>
      </c>
      <c r="R7" s="69"/>
    </row>
    <row r="8" spans="2:18" x14ac:dyDescent="0.25">
      <c r="B8" s="27" t="s">
        <v>19</v>
      </c>
      <c r="C8" s="85">
        <f>C7/2</f>
        <v>2.125</v>
      </c>
      <c r="F8" s="79">
        <v>3</v>
      </c>
      <c r="G8" s="80">
        <f>$C$8</f>
        <v>2.125</v>
      </c>
      <c r="H8" s="80">
        <f>G8/(1+$C$5)^F8</f>
        <v>1.8590864824483295</v>
      </c>
      <c r="I8" s="28">
        <f>H8/$H$23</f>
        <v>1.8978911311578014E-2</v>
      </c>
      <c r="J8" s="21">
        <f>I8*F8</f>
        <v>5.6936733934734043E-2</v>
      </c>
      <c r="K8" s="81">
        <f t="shared" si="0"/>
        <v>19.520408065707461</v>
      </c>
      <c r="N8" s="18">
        <v>3.5000000000000003E-2</v>
      </c>
      <c r="O8" s="13">
        <v>108.02302836379157</v>
      </c>
      <c r="P8" s="13">
        <f>$H$23*(1-$C$12*(N8-$C$5))</f>
        <v>106.09245537473086</v>
      </c>
      <c r="Q8" s="13">
        <f>(1+((-$C$12*(N8-$C$5))+(0.5*$C$13*(N8-$C$5)^2)))*$H$23</f>
        <v>106.5139612885949</v>
      </c>
      <c r="R8" s="69"/>
    </row>
    <row r="9" spans="2:18" x14ac:dyDescent="0.25">
      <c r="F9" s="79">
        <v>3.5</v>
      </c>
      <c r="G9" s="80">
        <f>$C$8</f>
        <v>2.125</v>
      </c>
      <c r="H9" s="80">
        <f>G9/(1+$C$5)^F9</f>
        <v>1.8181220595727288</v>
      </c>
      <c r="I9" s="28">
        <f>H9/$H$23</f>
        <v>1.8560716592813706E-2</v>
      </c>
      <c r="J9" s="21">
        <f>I9*F9</f>
        <v>6.4962508074847963E-2</v>
      </c>
      <c r="K9" s="81">
        <f t="shared" si="0"/>
        <v>25.453708834018201</v>
      </c>
      <c r="N9" s="18">
        <v>0.04</v>
      </c>
      <c r="O9" s="13">
        <v>103.91961550287229</v>
      </c>
      <c r="P9" s="13">
        <f>$H$23*(1-$C$12*(N9-$C$5))</f>
        <v>102.24331881223759</v>
      </c>
      <c r="Q9" s="13">
        <f>(1+((-$C$12*(N9-$C$5))+(0.5*$C$13*(N9-$C$5)^2)))*$H$23</f>
        <v>102.36036683668907</v>
      </c>
      <c r="R9" s="69"/>
    </row>
    <row r="10" spans="2:18" x14ac:dyDescent="0.25">
      <c r="F10" s="79">
        <v>4</v>
      </c>
      <c r="G10" s="80">
        <f>$C$8</f>
        <v>2.125</v>
      </c>
      <c r="H10" s="80">
        <f>G10/(1+$C$5)^F10</f>
        <v>1.7780602756853483</v>
      </c>
      <c r="I10" s="28">
        <f>H10/$H$23</f>
        <v>1.8151736671459601E-2</v>
      </c>
      <c r="J10" s="21">
        <f>I10*F10</f>
        <v>7.2606946685838405E-2</v>
      </c>
      <c r="K10" s="81">
        <f t="shared" si="0"/>
        <v>32.005084962336269</v>
      </c>
      <c r="N10" s="18">
        <v>4.4999999999999998E-2</v>
      </c>
      <c r="O10" s="13">
        <v>100.00000000000009</v>
      </c>
      <c r="P10" s="13">
        <v>100.00000000000009</v>
      </c>
      <c r="Q10" s="13">
        <f>(1+((-$C$12*(N10-$C$5))+(0.5*$C$13*(N10-$C$5)^2)))*$H$23</f>
        <v>98.395408003997971</v>
      </c>
      <c r="R10" s="69"/>
    </row>
    <row r="11" spans="2:18" x14ac:dyDescent="0.25">
      <c r="B11" s="17" t="s">
        <v>12</v>
      </c>
      <c r="C11" s="23">
        <f>J23</f>
        <v>8.2170916750900851</v>
      </c>
      <c r="F11" s="79">
        <v>4.5</v>
      </c>
      <c r="G11" s="80">
        <f>$C$8</f>
        <v>2.125</v>
      </c>
      <c r="H11" s="80">
        <f>G11/(1+$C$5)^F11</f>
        <v>1.7388812414020378</v>
      </c>
      <c r="I11" s="28">
        <f>H11/$H$23</f>
        <v>1.7751768502169824E-2</v>
      </c>
      <c r="J11" s="21">
        <f>I11*F11</f>
        <v>7.9882958259764214E-2</v>
      </c>
      <c r="K11" s="81">
        <f t="shared" si="0"/>
        <v>39.124827931545852</v>
      </c>
      <c r="N11" s="18">
        <v>0.05</v>
      </c>
      <c r="O11" s="13">
        <v>96.255277164303081</v>
      </c>
      <c r="P11" s="13">
        <f>$H$23*(1-$C$12*(N11-$C$5))</f>
        <v>94.545045687251019</v>
      </c>
      <c r="Q11" s="13">
        <f>(1+((-$C$12*(N11-$C$5))+(0.5*$C$13*(N11-$C$5)^2)))*$H$23</f>
        <v>94.619084790521555</v>
      </c>
      <c r="R11" s="69"/>
    </row>
    <row r="12" spans="2:18" x14ac:dyDescent="0.25">
      <c r="B12" s="26" t="s">
        <v>13</v>
      </c>
      <c r="C12" s="21">
        <f>C11/(1+C5)</f>
        <v>7.8589589172318295</v>
      </c>
      <c r="F12" s="79">
        <v>5</v>
      </c>
      <c r="G12" s="80">
        <f>$C$8</f>
        <v>2.125</v>
      </c>
      <c r="H12" s="80">
        <f>G12/(1+$C$5)^F12</f>
        <v>1.7005655055953672</v>
      </c>
      <c r="I12" s="28">
        <f>H12/$H$23</f>
        <v>1.7360613513642893E-2</v>
      </c>
      <c r="J12" s="21">
        <f>I12*F12</f>
        <v>8.6803067568214459E-2</v>
      </c>
      <c r="K12" s="81">
        <f t="shared" si="0"/>
        <v>46.765551403872593</v>
      </c>
      <c r="N12" s="18">
        <v>5.5E-2</v>
      </c>
      <c r="O12" s="13">
        <v>92.676999216272719</v>
      </c>
      <c r="P12" s="13">
        <f>$H$23*(1-$C$12*(N12-$C$5))</f>
        <v>90.695909124757733</v>
      </c>
      <c r="Q12" s="13">
        <f>(1+((-$C$12*(N12-$C$5))+(0.5*$C$13*(N12-$C$5)^2)))*$H$23</f>
        <v>91.03139719625986</v>
      </c>
      <c r="R12" s="69"/>
    </row>
    <row r="13" spans="2:18" x14ac:dyDescent="0.25">
      <c r="B13" s="27" t="s">
        <v>14</v>
      </c>
      <c r="C13" s="24">
        <f>K23/(H23*(1+C5/2)^2)</f>
        <v>77.029201623063102</v>
      </c>
      <c r="F13" s="79">
        <v>5.5</v>
      </c>
      <c r="G13" s="80">
        <f>$C$8</f>
        <v>2.125</v>
      </c>
      <c r="H13" s="80">
        <f>G13/(1+$C$5)^F13</f>
        <v>1.6630940457377674</v>
      </c>
      <c r="I13" s="28">
        <f>H13/$H$23</f>
        <v>1.6978077510037416E-2</v>
      </c>
      <c r="J13" s="21">
        <f>I13*F13</f>
        <v>9.3379426305205793E-2</v>
      </c>
      <c r="K13" s="81">
        <f t="shared" si="0"/>
        <v>54.882103509346322</v>
      </c>
      <c r="N13" s="18">
        <v>0.06</v>
      </c>
      <c r="O13" s="13">
        <v>89.257150670298145</v>
      </c>
      <c r="P13" s="13">
        <f>$H$23*(1-$C$12*(N13-$C$5))</f>
        <v>86.846772562264462</v>
      </c>
      <c r="Q13" s="13">
        <f>(1+((-$C$12*(N13-$C$5))+(0.5*$C$13*(N13-$C$5)^2)))*$H$23</f>
        <v>87.632345221212873</v>
      </c>
      <c r="R13" s="69"/>
    </row>
    <row r="14" spans="2:18" x14ac:dyDescent="0.25">
      <c r="F14" s="79">
        <v>6</v>
      </c>
      <c r="G14" s="80">
        <f>$C$8</f>
        <v>2.125</v>
      </c>
      <c r="H14" s="80">
        <f>G14/(1+$C$5)^F14</f>
        <v>1.6264482584574607</v>
      </c>
      <c r="I14" s="28">
        <f>H14/$H$23</f>
        <v>1.6603970574560183E-2</v>
      </c>
      <c r="J14" s="21">
        <f>I14*F14</f>
        <v>9.9623823447361093E-2</v>
      </c>
      <c r="K14" s="81">
        <f t="shared" si="0"/>
        <v>63.431482079840968</v>
      </c>
      <c r="N14" s="18">
        <v>6.5000000000000002E-2</v>
      </c>
      <c r="O14" s="13">
        <v>85.988125103290443</v>
      </c>
      <c r="P14" s="13">
        <f>$H$23*(1-$C$12*(N14-$C$5))</f>
        <v>82.997635999771177</v>
      </c>
      <c r="Q14" s="13">
        <f>(1+((-$C$12*(N14-$C$5))+(0.5*$C$13*(N14-$C$5)^2)))*$H$23</f>
        <v>84.421928865380607</v>
      </c>
      <c r="R14" s="69"/>
    </row>
    <row r="15" spans="2:18" x14ac:dyDescent="0.25">
      <c r="F15" s="79">
        <v>6.5</v>
      </c>
      <c r="G15" s="80">
        <f>$C$8</f>
        <v>2.125</v>
      </c>
      <c r="H15" s="80">
        <f>G15/(1+$C$5)^F15</f>
        <v>1.5906099503024831</v>
      </c>
      <c r="I15" s="28">
        <f>H15/$H$23</f>
        <v>1.623810697517853E-2</v>
      </c>
      <c r="J15" s="21">
        <f>I15*F15</f>
        <v>0.10554769533866044</v>
      </c>
      <c r="K15" s="81">
        <f t="shared" si="0"/>
        <v>72.372752738762983</v>
      </c>
      <c r="N15" s="18">
        <v>7.0000000000000007E-2</v>
      </c>
      <c r="O15" s="13">
        <v>82.862703228099335</v>
      </c>
      <c r="P15" s="13">
        <f>$H$23*(1-$C$12*(N15-$C$5))</f>
        <v>79.148499437277891</v>
      </c>
      <c r="Q15" s="13">
        <f>(1+((-$C$12*(N15-$C$5))+(0.5*$C$13*(N15-$C$5)^2)))*$H$23</f>
        <v>81.400148128763036</v>
      </c>
      <c r="R15" s="69"/>
    </row>
    <row r="16" spans="2:18" x14ac:dyDescent="0.25">
      <c r="F16" s="79">
        <v>7</v>
      </c>
      <c r="G16" s="80">
        <f>$C$8</f>
        <v>2.125</v>
      </c>
      <c r="H16" s="80">
        <f>G16/(1+$C$5)^F16</f>
        <v>1.5555613287082266</v>
      </c>
      <c r="I16" s="28">
        <f>H16/$H$23</f>
        <v>1.5880305072410436E-2</v>
      </c>
      <c r="J16" s="21">
        <f>I16*F16</f>
        <v>0.11116213550687305</v>
      </c>
      <c r="K16" s="81">
        <f t="shared" si="0"/>
        <v>81.666969757181903</v>
      </c>
      <c r="N16" s="18">
        <v>7.4999999999999997E-2</v>
      </c>
      <c r="O16" s="13">
        <v>79.874032195372422</v>
      </c>
      <c r="P16" s="13">
        <f>$H$23*(1-$C$12*(N16-$C$5))</f>
        <v>75.299362874784606</v>
      </c>
      <c r="Q16" s="13">
        <f>(1+((-$C$12*(N16-$C$5))+(0.5*$C$13*(N16-$C$5)^2)))*$H$23</f>
        <v>78.5670030113602</v>
      </c>
      <c r="R16" s="69"/>
    </row>
    <row r="17" spans="5:18" x14ac:dyDescent="0.25">
      <c r="F17" s="79">
        <v>7.5</v>
      </c>
      <c r="G17" s="80">
        <f>$C$8</f>
        <v>2.125</v>
      </c>
      <c r="H17" s="80">
        <f>G17/(1+$C$5)^F17</f>
        <v>1.5212849931639996</v>
      </c>
      <c r="I17" s="28">
        <f>H17/$H$23</f>
        <v>1.5530387229146332E-2</v>
      </c>
      <c r="J17" s="21">
        <f>I17*F17</f>
        <v>0.11647790421859749</v>
      </c>
      <c r="K17" s="81">
        <f t="shared" si="0"/>
        <v>91.277099589839978</v>
      </c>
      <c r="N17" s="19">
        <v>0.08</v>
      </c>
      <c r="O17" s="20">
        <v>77.015606052158745</v>
      </c>
      <c r="P17" s="20">
        <f>$H$23*(1-$C$12*(N17-$C$5))</f>
        <v>71.450226312291321</v>
      </c>
      <c r="Q17" s="13">
        <f>(1+((-$C$12*(N17-$C$5))+(0.5*$C$13*(N17-$C$5)^2)))*$H$23</f>
        <v>75.922493513172043</v>
      </c>
      <c r="R17" s="69"/>
    </row>
    <row r="18" spans="5:18" x14ac:dyDescent="0.25">
      <c r="F18" s="79">
        <v>8</v>
      </c>
      <c r="G18" s="80">
        <f>$C$8</f>
        <v>2.125</v>
      </c>
      <c r="H18" s="80">
        <f>G18/(1+$C$5)^F18</f>
        <v>1.4877639265742384</v>
      </c>
      <c r="I18" s="28">
        <f>H18/$H$23</f>
        <v>1.5188179722458024E-2</v>
      </c>
      <c r="J18" s="21">
        <f>I18*F18</f>
        <v>0.12150543777966419</v>
      </c>
      <c r="K18" s="81">
        <f t="shared" si="0"/>
        <v>101.16794700704821</v>
      </c>
    </row>
    <row r="19" spans="5:18" x14ac:dyDescent="0.25">
      <c r="E19" s="1"/>
      <c r="F19" s="79">
        <v>8.5</v>
      </c>
      <c r="G19" s="80">
        <f>$C$8</f>
        <v>2.125</v>
      </c>
      <c r="H19" s="80">
        <f>G19/(1+$C$5)^F19</f>
        <v>1.4549814868100646</v>
      </c>
      <c r="I19" s="28">
        <f>H19/$H$23</f>
        <v>1.4853512657350848E-2</v>
      </c>
      <c r="J19" s="21">
        <f>I19*F19</f>
        <v>0.1262548575874822</v>
      </c>
      <c r="K19" s="81">
        <f t="shared" si="0"/>
        <v>111.30608374096994</v>
      </c>
    </row>
    <row r="20" spans="5:18" x14ac:dyDescent="0.25">
      <c r="E20" s="1"/>
      <c r="F20" s="79">
        <v>9</v>
      </c>
      <c r="G20" s="80">
        <f>$C$8</f>
        <v>2.125</v>
      </c>
      <c r="H20" s="80">
        <f>G20/(1+$C$5)^F20</f>
        <v>1.4229213984470079</v>
      </c>
      <c r="I20" s="28">
        <f>H20/$H$23</f>
        <v>1.452621988241631E-2</v>
      </c>
      <c r="J20" s="21">
        <f>I20*F20</f>
        <v>0.13073597894174679</v>
      </c>
      <c r="K20" s="81">
        <f t="shared" si="0"/>
        <v>121.65977956721918</v>
      </c>
    </row>
    <row r="21" spans="5:18" x14ac:dyDescent="0.25">
      <c r="E21" s="1"/>
      <c r="F21" s="79">
        <v>9.5</v>
      </c>
      <c r="G21" s="80">
        <f>$C$8</f>
        <v>2.125</v>
      </c>
      <c r="H21" s="80">
        <f>G21/(1+$C$5)^F21</f>
        <v>1.3915677446847792</v>
      </c>
      <c r="I21" s="28">
        <f>H21/$H$23</f>
        <v>1.4206138907343218E-2</v>
      </c>
      <c r="J21" s="21">
        <f>I21*F21</f>
        <v>0.13495831961976057</v>
      </c>
      <c r="K21" s="81">
        <f t="shared" si="0"/>
        <v>132.19893574505403</v>
      </c>
    </row>
    <row r="22" spans="5:18" x14ac:dyDescent="0.25">
      <c r="E22" s="1"/>
      <c r="F22" s="79">
        <v>10</v>
      </c>
      <c r="G22" s="80">
        <f>$C$8+C4</f>
        <v>102.125</v>
      </c>
      <c r="H22" s="80">
        <f>G22/(1+$C$5)^F22</f>
        <v>65.403491286273095</v>
      </c>
      <c r="I22" s="28">
        <f>H22/$H$23</f>
        <v>0.66768656128090698</v>
      </c>
      <c r="J22" s="21">
        <f>I22*F22</f>
        <v>6.6768656128090695</v>
      </c>
      <c r="K22" s="81">
        <f t="shared" si="0"/>
        <v>6867.3665850586749</v>
      </c>
    </row>
    <row r="23" spans="5:18" x14ac:dyDescent="0.25">
      <c r="E23" s="1"/>
      <c r="F23" s="10"/>
      <c r="G23" s="14"/>
      <c r="H23" s="14">
        <f>SUM(H3:H22)</f>
        <v>97.955380681620071</v>
      </c>
      <c r="I23" s="22"/>
      <c r="J23" s="22">
        <f>SUM(J4:J22)</f>
        <v>8.2170916750900851</v>
      </c>
      <c r="K23" s="22">
        <f>SUM(K4:K22)</f>
        <v>7893.1870295318686</v>
      </c>
    </row>
    <row r="24" spans="5:18" x14ac:dyDescent="0.25">
      <c r="E24" s="1"/>
      <c r="L24" s="4"/>
      <c r="M24" s="4"/>
    </row>
    <row r="25" spans="5:18" x14ac:dyDescent="0.25">
      <c r="E25" s="1"/>
    </row>
    <row r="26" spans="5:18" x14ac:dyDescent="0.25">
      <c r="E26" s="1"/>
      <c r="H26" s="45">
        <f>H23</f>
        <v>97.955380681620071</v>
      </c>
    </row>
    <row r="27" spans="5:18" x14ac:dyDescent="0.25">
      <c r="E27" s="1"/>
      <c r="G27" s="92">
        <v>2.5569999999999999E-2</v>
      </c>
      <c r="H27">
        <f t="dataTable" ref="H27:H35" dt2D="0" dtr="0" r1="C5"/>
        <v>115.00927898017608</v>
      </c>
    </row>
    <row r="28" spans="5:18" x14ac:dyDescent="0.25">
      <c r="E28" s="1"/>
      <c r="G28" s="92">
        <v>3.057E-2</v>
      </c>
      <c r="H28">
        <v>110.42117546774358</v>
      </c>
    </row>
    <row r="29" spans="5:18" x14ac:dyDescent="0.25">
      <c r="E29" s="1"/>
      <c r="G29" s="92">
        <v>3.5569999999999997E-2</v>
      </c>
      <c r="H29">
        <v>106.05755562861395</v>
      </c>
    </row>
    <row r="30" spans="5:18" x14ac:dyDescent="0.25">
      <c r="E30" s="1"/>
      <c r="F30" s="2"/>
      <c r="G30" s="92">
        <v>4.0570000000000002E-2</v>
      </c>
      <c r="H30">
        <v>101.90613961029092</v>
      </c>
    </row>
    <row r="31" spans="5:18" x14ac:dyDescent="0.25">
      <c r="E31" s="1"/>
      <c r="F31" s="2"/>
      <c r="G31" s="92">
        <v>4.5569999999999999E-2</v>
      </c>
      <c r="H31">
        <v>97.955380681620071</v>
      </c>
    </row>
    <row r="32" spans="5:18" x14ac:dyDescent="0.25">
      <c r="E32" s="1"/>
      <c r="F32" s="2"/>
      <c r="G32" s="92">
        <v>5.0569999999999997E-2</v>
      </c>
      <c r="H32">
        <v>94.194418027893278</v>
      </c>
    </row>
    <row r="33" spans="5:8" x14ac:dyDescent="0.25">
      <c r="E33" s="1"/>
      <c r="F33" s="2"/>
      <c r="G33" s="92">
        <v>5.5570000000000001E-2</v>
      </c>
      <c r="H33">
        <v>90.613032798961711</v>
      </c>
    </row>
    <row r="34" spans="5:8" x14ac:dyDescent="0.25">
      <c r="E34" s="1"/>
      <c r="F34" s="2"/>
      <c r="G34" s="92">
        <v>6.0569999999999999E-2</v>
      </c>
      <c r="H34">
        <v>87.201607171814686</v>
      </c>
    </row>
    <row r="35" spans="5:8" x14ac:dyDescent="0.25">
      <c r="E35" s="1"/>
      <c r="F35" s="2"/>
      <c r="G35" s="92">
        <v>6.5570000000000003E-2</v>
      </c>
      <c r="H35">
        <v>83.951086207604078</v>
      </c>
    </row>
    <row r="36" spans="5:8" x14ac:dyDescent="0.25">
      <c r="E36" s="1"/>
      <c r="F36" s="2"/>
    </row>
    <row r="37" spans="5:8" x14ac:dyDescent="0.25">
      <c r="E37" s="1"/>
      <c r="F37" s="2"/>
    </row>
    <row r="38" spans="5:8" x14ac:dyDescent="0.25">
      <c r="E38" s="1"/>
      <c r="F38" s="2"/>
    </row>
    <row r="39" spans="5:8" x14ac:dyDescent="0.25">
      <c r="E39" s="1"/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6C84-5A67-4B44-80E5-66B2BC48B8FA}">
  <dimension ref="B2:AF29"/>
  <sheetViews>
    <sheetView showGridLines="0" topLeftCell="F2" workbookViewId="0">
      <selection activeCell="F27" sqref="F27"/>
    </sheetView>
  </sheetViews>
  <sheetFormatPr defaultRowHeight="13.8" x14ac:dyDescent="0.25"/>
  <cols>
    <col min="2" max="2" width="27.109375" bestFit="1" customWidth="1"/>
    <col min="3" max="3" width="10.109375" bestFit="1" customWidth="1"/>
    <col min="5" max="5" width="19" bestFit="1" customWidth="1"/>
    <col min="6" max="6" width="13.77734375" bestFit="1" customWidth="1"/>
    <col min="7" max="7" width="10.77734375" bestFit="1" customWidth="1"/>
    <col min="8" max="8" width="9.5546875" bestFit="1" customWidth="1"/>
    <col min="9" max="9" width="14.21875" bestFit="1" customWidth="1"/>
    <col min="10" max="10" width="13.6640625" bestFit="1" customWidth="1"/>
    <col min="11" max="11" width="24.77734375" bestFit="1" customWidth="1"/>
    <col min="12" max="12" width="16" bestFit="1" customWidth="1"/>
    <col min="15" max="15" width="19" bestFit="1" customWidth="1"/>
    <col min="16" max="16" width="13.77734375" bestFit="1" customWidth="1"/>
    <col min="17" max="17" width="10.77734375" bestFit="1" customWidth="1"/>
    <col min="18" max="18" width="9.5546875" bestFit="1" customWidth="1"/>
    <col min="19" max="19" width="14.21875" bestFit="1" customWidth="1"/>
    <col min="20" max="20" width="13.6640625" bestFit="1" customWidth="1"/>
    <col min="21" max="21" width="24.77734375" bestFit="1" customWidth="1"/>
    <col min="22" max="22" width="16" bestFit="1" customWidth="1"/>
    <col min="25" max="25" width="19" bestFit="1" customWidth="1"/>
    <col min="26" max="26" width="13.77734375" bestFit="1" customWidth="1"/>
    <col min="27" max="27" width="10.77734375" bestFit="1" customWidth="1"/>
    <col min="28" max="28" width="9.5546875" bestFit="1" customWidth="1"/>
    <col min="29" max="29" width="14.21875" bestFit="1" customWidth="1"/>
    <col min="30" max="30" width="13.6640625" bestFit="1" customWidth="1"/>
    <col min="31" max="31" width="24.77734375" bestFit="1" customWidth="1"/>
    <col min="32" max="32" width="16" bestFit="1" customWidth="1"/>
  </cols>
  <sheetData>
    <row r="2" spans="2:32" x14ac:dyDescent="0.25">
      <c r="O2" s="25" t="s">
        <v>23</v>
      </c>
      <c r="P2" s="39">
        <v>2.5000000000000001E-3</v>
      </c>
      <c r="Y2" s="25" t="s">
        <v>24</v>
      </c>
      <c r="Z2" s="39">
        <v>2.5000000000000001E-3</v>
      </c>
    </row>
    <row r="3" spans="2:32" x14ac:dyDescent="0.25">
      <c r="B3" s="70" t="s">
        <v>3</v>
      </c>
      <c r="C3" s="70"/>
      <c r="E3" s="34" t="s">
        <v>7</v>
      </c>
      <c r="F3" s="34" t="s">
        <v>20</v>
      </c>
      <c r="G3" s="34" t="s">
        <v>8</v>
      </c>
      <c r="H3" s="34" t="s">
        <v>9</v>
      </c>
      <c r="I3" s="34" t="s">
        <v>22</v>
      </c>
      <c r="J3" s="34" t="s">
        <v>10</v>
      </c>
      <c r="K3" s="34" t="s">
        <v>21</v>
      </c>
      <c r="L3" s="34" t="s">
        <v>11</v>
      </c>
      <c r="O3" s="34" t="s">
        <v>7</v>
      </c>
      <c r="P3" s="34" t="s">
        <v>20</v>
      </c>
      <c r="Q3" s="34" t="s">
        <v>8</v>
      </c>
      <c r="R3" s="34" t="s">
        <v>9</v>
      </c>
      <c r="S3" s="34" t="s">
        <v>22</v>
      </c>
      <c r="T3" s="34" t="s">
        <v>10</v>
      </c>
      <c r="U3" s="34" t="s">
        <v>21</v>
      </c>
      <c r="V3" s="34" t="s">
        <v>11</v>
      </c>
      <c r="Y3" s="34" t="s">
        <v>7</v>
      </c>
      <c r="Z3" s="34" t="s">
        <v>20</v>
      </c>
      <c r="AA3" s="34" t="s">
        <v>8</v>
      </c>
      <c r="AB3" s="34" t="s">
        <v>9</v>
      </c>
      <c r="AC3" s="34" t="s">
        <v>22</v>
      </c>
      <c r="AD3" s="34" t="s">
        <v>10</v>
      </c>
      <c r="AE3" s="34" t="s">
        <v>21</v>
      </c>
      <c r="AF3" s="34" t="s">
        <v>11</v>
      </c>
    </row>
    <row r="4" spans="2:32" x14ac:dyDescent="0.25">
      <c r="B4" s="26" t="s">
        <v>0</v>
      </c>
      <c r="C4" s="13">
        <f>'10 year Gilt (2)'!C3</f>
        <v>97.955380681620071</v>
      </c>
      <c r="E4" s="79">
        <v>0.5</v>
      </c>
      <c r="F4" s="28">
        <f>$C$6</f>
        <v>4.5569999999999999E-2</v>
      </c>
      <c r="G4" s="13">
        <f>$C$9</f>
        <v>2.125</v>
      </c>
      <c r="H4" s="13">
        <f>G4/(1+F4)^E4</f>
        <v>2.0781762511144657</v>
      </c>
      <c r="I4" s="18">
        <f>H4/$H$24</f>
        <v>2.1215539530891801E-2</v>
      </c>
      <c r="J4" s="21">
        <f>I4*E4</f>
        <v>1.0607769765445901E-2</v>
      </c>
      <c r="K4" s="21">
        <f>H4*(1+F4)^($E$20-E4)</f>
        <v>2.968296552119607</v>
      </c>
      <c r="L4" s="21">
        <f>E4*(E4+1)*H4</f>
        <v>1.5586321883358494</v>
      </c>
      <c r="O4" s="79">
        <v>0.5</v>
      </c>
      <c r="P4" s="28">
        <f>$C$6</f>
        <v>4.5569999999999999E-2</v>
      </c>
      <c r="Q4" s="13">
        <f>$C$9</f>
        <v>2.125</v>
      </c>
      <c r="R4" s="13">
        <f>Q4/(1+P4)^O4</f>
        <v>2.0781762511144657</v>
      </c>
      <c r="S4" s="18">
        <f t="shared" ref="S4:S23" si="0">R4/$R$24</f>
        <v>2.5085229588547652E-2</v>
      </c>
      <c r="T4" s="21">
        <f>S4*O4</f>
        <v>1.2542614794273826E-2</v>
      </c>
      <c r="U4" s="21">
        <f>R4*(1+P4)^($O$19-O4)</f>
        <v>2.9028910121787859</v>
      </c>
      <c r="V4" s="21">
        <f>O4*R4*(O4+0.5)</f>
        <v>1.0390881255572328</v>
      </c>
      <c r="Y4" s="79">
        <v>0.5</v>
      </c>
      <c r="Z4" s="28">
        <f>C6</f>
        <v>4.5569999999999999E-2</v>
      </c>
      <c r="AA4" s="13">
        <f>$C$9</f>
        <v>2.125</v>
      </c>
      <c r="AB4" s="13">
        <f>AA4/(1+Z4)^Y4</f>
        <v>2.0781762511144657</v>
      </c>
      <c r="AC4" s="18">
        <f>AB4/$AB$24</f>
        <v>1.7747253056584308E-2</v>
      </c>
      <c r="AD4" s="21">
        <f>AC4*Y4</f>
        <v>8.8736265282921539E-3</v>
      </c>
      <c r="AE4" s="21">
        <f>AB4*(1+Z4)^($Y$20-Y4)</f>
        <v>2.968296552119607</v>
      </c>
      <c r="AF4" s="21">
        <f>Y4*AB4*(Y4+0.5)</f>
        <v>1.0390881255572328</v>
      </c>
    </row>
    <row r="5" spans="2:32" x14ac:dyDescent="0.25">
      <c r="B5" s="26" t="s">
        <v>5</v>
      </c>
      <c r="C5" s="13">
        <f>'10 year Gilt (2)'!C4</f>
        <v>100</v>
      </c>
      <c r="E5" s="79">
        <v>1</v>
      </c>
      <c r="F5" s="28">
        <f t="shared" ref="F5:F23" si="1">$C$6</f>
        <v>4.5569999999999999E-2</v>
      </c>
      <c r="G5" s="13">
        <f t="shared" ref="G5:G22" si="2">$C$9</f>
        <v>2.125</v>
      </c>
      <c r="H5" s="13">
        <f t="shared" ref="H5:H23" si="3">G5/(1+F5)^E5</f>
        <v>2.0323842497393763</v>
      </c>
      <c r="I5" s="18">
        <f t="shared" ref="I5:I23" si="4">H5/$H$24</f>
        <v>2.0748061368319751E-2</v>
      </c>
      <c r="J5" s="21">
        <f t="shared" ref="J5:J23" si="5">I5*E5</f>
        <v>2.0748061368319751E-2</v>
      </c>
      <c r="K5" s="21">
        <f t="shared" ref="K5:K20" si="6">H5*(1+F5)^($E$20-E5)</f>
        <v>2.838926664039334</v>
      </c>
      <c r="L5" s="21">
        <f>E5*(E5+1)*H5</f>
        <v>4.0647684994787525</v>
      </c>
      <c r="O5" s="79">
        <v>1</v>
      </c>
      <c r="P5" s="28">
        <f>P4+$P$2/2</f>
        <v>4.6820000000000001E-2</v>
      </c>
      <c r="Q5" s="13">
        <f t="shared" ref="Q5:Q22" si="7">$C$9</f>
        <v>2.125</v>
      </c>
      <c r="R5" s="13">
        <f t="shared" ref="R5:R23" si="8">Q5/(1+P5)^O5</f>
        <v>2.0299573947765612</v>
      </c>
      <c r="S5" s="18">
        <f t="shared" si="0"/>
        <v>2.4503189888553552E-2</v>
      </c>
      <c r="T5" s="21">
        <f t="shared" ref="T5:T23" si="9">S5*O5</f>
        <v>2.4503189888553552E-2</v>
      </c>
      <c r="U5" s="21">
        <f t="shared" ref="U5:U19" si="10">R5*(1+P5)^($O$19-O5)</f>
        <v>2.7963466193225726</v>
      </c>
      <c r="V5" s="21">
        <f t="shared" ref="V5:V23" si="11">O5*R5*(O5+0.5)</f>
        <v>3.0449360921648418</v>
      </c>
      <c r="Y5" s="79">
        <v>1</v>
      </c>
      <c r="Z5" s="28">
        <f>Z4-$P$2/2</f>
        <v>4.4319999999999998E-2</v>
      </c>
      <c r="AA5" s="13">
        <f t="shared" ref="AA5:AA22" si="12">$C$9</f>
        <v>2.125</v>
      </c>
      <c r="AB5" s="13">
        <f t="shared" ref="AB5:AB23" si="13">AA5/(1+Z5)^Y5</f>
        <v>2.0348169143557531</v>
      </c>
      <c r="AC5" s="18">
        <f t="shared" ref="AC5:AC23" si="14">AB5/$AB$24</f>
        <v>1.7376972084789992E-2</v>
      </c>
      <c r="AD5" s="21">
        <f t="shared" ref="AD5:AD23" si="15">AC5*Y5</f>
        <v>1.7376972084789992E-2</v>
      </c>
      <c r="AE5" s="21">
        <f t="shared" ref="AE5:AE20" si="16">AB5*(1+Z5)^($Y$20-Y5)</f>
        <v>2.8169381023535407</v>
      </c>
      <c r="AF5" s="21">
        <f t="shared" ref="AF5:AF23" si="17">Y5*AB5*(Y5+0.5)</f>
        <v>3.0522253715336296</v>
      </c>
    </row>
    <row r="6" spans="2:32" x14ac:dyDescent="0.25">
      <c r="B6" s="26" t="s">
        <v>1</v>
      </c>
      <c r="C6" s="28">
        <f>'10 year Gilt (2)'!C5</f>
        <v>4.5569999999999999E-2</v>
      </c>
      <c r="E6" s="79">
        <v>1.5</v>
      </c>
      <c r="F6" s="28">
        <f t="shared" si="1"/>
        <v>4.5569999999999999E-2</v>
      </c>
      <c r="G6" s="13">
        <f t="shared" si="2"/>
        <v>2.125</v>
      </c>
      <c r="H6" s="13">
        <f t="shared" si="3"/>
        <v>1.9876012616223355</v>
      </c>
      <c r="I6" s="18">
        <f t="shared" si="4"/>
        <v>2.0290883949321228E-2</v>
      </c>
      <c r="J6" s="21">
        <f t="shared" si="5"/>
        <v>3.0436325923981843E-2</v>
      </c>
      <c r="K6" s="21">
        <f t="shared" si="6"/>
        <v>2.7151952179570316</v>
      </c>
      <c r="L6" s="21">
        <f>E6*(E6+1)*H6</f>
        <v>7.4535047310837585</v>
      </c>
      <c r="O6" s="79">
        <v>1.5</v>
      </c>
      <c r="P6" s="28">
        <f>P5+$P$2/2</f>
        <v>4.8070000000000002E-2</v>
      </c>
      <c r="Q6" s="13">
        <f t="shared" si="7"/>
        <v>2.125</v>
      </c>
      <c r="R6" s="13">
        <f t="shared" si="8"/>
        <v>1.9804938564084056</v>
      </c>
      <c r="S6" s="18">
        <f t="shared" si="0"/>
        <v>2.3906125892869012E-2</v>
      </c>
      <c r="T6" s="21">
        <f t="shared" si="9"/>
        <v>3.5859188839303516E-2</v>
      </c>
      <c r="U6" s="21">
        <f t="shared" si="10"/>
        <v>2.6872643077960001</v>
      </c>
      <c r="V6" s="21">
        <f t="shared" si="11"/>
        <v>5.9414815692252168</v>
      </c>
      <c r="Y6" s="79">
        <v>1.5</v>
      </c>
      <c r="Z6" s="28">
        <f t="shared" ref="Z6:Z23" si="18">Z5-$P$2/2</f>
        <v>4.3069999999999997E-2</v>
      </c>
      <c r="AA6" s="13">
        <f t="shared" si="12"/>
        <v>2.125</v>
      </c>
      <c r="AB6" s="13">
        <f t="shared" si="13"/>
        <v>1.9947512793917874</v>
      </c>
      <c r="AC6" s="18">
        <f t="shared" si="14"/>
        <v>1.703481873653721E-2</v>
      </c>
      <c r="AD6" s="21">
        <f t="shared" si="15"/>
        <v>2.5552228104805813E-2</v>
      </c>
      <c r="AE6" s="21">
        <f t="shared" si="16"/>
        <v>2.6796800032177353</v>
      </c>
      <c r="AF6" s="21">
        <f t="shared" si="17"/>
        <v>5.9842538381753627</v>
      </c>
    </row>
    <row r="7" spans="2:32" x14ac:dyDescent="0.25">
      <c r="B7" s="26" t="s">
        <v>6</v>
      </c>
      <c r="C7" s="28">
        <f>'10 year Gilt (2)'!C6</f>
        <v>4.2500000000000003E-2</v>
      </c>
      <c r="E7" s="79">
        <v>2</v>
      </c>
      <c r="F7" s="28">
        <f t="shared" si="1"/>
        <v>4.5569999999999999E-2</v>
      </c>
      <c r="G7" s="13">
        <f t="shared" si="2"/>
        <v>2.125</v>
      </c>
      <c r="H7" s="13">
        <f t="shared" si="3"/>
        <v>1.9438050534535003</v>
      </c>
      <c r="I7" s="18">
        <f t="shared" si="4"/>
        <v>1.9843780300046628E-2</v>
      </c>
      <c r="J7" s="21">
        <f t="shared" si="5"/>
        <v>3.9687560600093257E-2</v>
      </c>
      <c r="K7" s="21">
        <f t="shared" si="6"/>
        <v>2.5968564686793156</v>
      </c>
      <c r="L7" s="21">
        <f>E7*(E7+1)*H7</f>
        <v>11.662830320721001</v>
      </c>
      <c r="O7" s="79">
        <v>2</v>
      </c>
      <c r="P7" s="28">
        <f>P6+$P$2/2</f>
        <v>4.9320000000000003E-2</v>
      </c>
      <c r="Q7" s="13">
        <f t="shared" si="7"/>
        <v>2.125</v>
      </c>
      <c r="R7" s="13">
        <f t="shared" si="8"/>
        <v>1.9299365596412719</v>
      </c>
      <c r="S7" s="18">
        <f t="shared" si="0"/>
        <v>2.3295859368987908E-2</v>
      </c>
      <c r="T7" s="21">
        <f t="shared" si="9"/>
        <v>4.6591718737975817E-2</v>
      </c>
      <c r="U7" s="21">
        <f t="shared" si="10"/>
        <v>2.5762662058431491</v>
      </c>
      <c r="V7" s="21">
        <f t="shared" si="11"/>
        <v>9.64968279820636</v>
      </c>
      <c r="Y7" s="79">
        <v>2</v>
      </c>
      <c r="Z7" s="28">
        <f t="shared" si="18"/>
        <v>4.1819999999999996E-2</v>
      </c>
      <c r="AA7" s="13">
        <f t="shared" si="12"/>
        <v>2.125</v>
      </c>
      <c r="AB7" s="13">
        <f t="shared" si="13"/>
        <v>1.9578235743179129</v>
      </c>
      <c r="AC7" s="18">
        <f t="shared" si="14"/>
        <v>1.671946274765344E-2</v>
      </c>
      <c r="AD7" s="21">
        <f t="shared" si="15"/>
        <v>3.343892549530688E-2</v>
      </c>
      <c r="AE7" s="21">
        <f t="shared" si="16"/>
        <v>2.5552067214395993</v>
      </c>
      <c r="AF7" s="21">
        <f t="shared" si="17"/>
        <v>9.7891178715895641</v>
      </c>
    </row>
    <row r="8" spans="2:32" x14ac:dyDescent="0.25">
      <c r="B8" s="26" t="s">
        <v>2</v>
      </c>
      <c r="C8" s="13">
        <f>'10 year Gilt (2)'!C7</f>
        <v>4.25</v>
      </c>
      <c r="E8" s="79">
        <v>2.5</v>
      </c>
      <c r="F8" s="28">
        <f t="shared" si="1"/>
        <v>4.5569999999999999E-2</v>
      </c>
      <c r="G8" s="13">
        <f t="shared" si="2"/>
        <v>2.125</v>
      </c>
      <c r="H8" s="13">
        <f t="shared" si="3"/>
        <v>1.9009738818274582</v>
      </c>
      <c r="I8" s="18">
        <f t="shared" si="4"/>
        <v>1.9406528447948226E-2</v>
      </c>
      <c r="J8" s="21">
        <f t="shared" si="5"/>
        <v>4.8516321119870566E-2</v>
      </c>
      <c r="K8" s="21">
        <f t="shared" si="6"/>
        <v>2.4836753815424264</v>
      </c>
      <c r="L8" s="21">
        <f>E8*(E8+1)*H8</f>
        <v>16.63352146599026</v>
      </c>
      <c r="O8" s="79">
        <v>2.5</v>
      </c>
      <c r="P8" s="28">
        <f>P7+$P$2/2</f>
        <v>5.0570000000000004E-2</v>
      </c>
      <c r="Q8" s="13">
        <f t="shared" si="7"/>
        <v>2.125</v>
      </c>
      <c r="R8" s="13">
        <f t="shared" si="8"/>
        <v>1.8784361908767888</v>
      </c>
      <c r="S8" s="18">
        <f t="shared" si="0"/>
        <v>2.2674209220854842E-2</v>
      </c>
      <c r="T8" s="21">
        <f t="shared" si="9"/>
        <v>5.6685523052137102E-2</v>
      </c>
      <c r="U8" s="21">
        <f t="shared" si="10"/>
        <v>2.4639615095679099</v>
      </c>
      <c r="V8" s="21">
        <f t="shared" si="11"/>
        <v>14.088271431575915</v>
      </c>
      <c r="Y8" s="79">
        <v>2.5</v>
      </c>
      <c r="Z8" s="28">
        <f t="shared" si="18"/>
        <v>4.0569999999999995E-2</v>
      </c>
      <c r="AA8" s="13">
        <f t="shared" si="12"/>
        <v>2.125</v>
      </c>
      <c r="AB8" s="13">
        <f t="shared" si="13"/>
        <v>1.9238919709913134</v>
      </c>
      <c r="AC8" s="18">
        <f t="shared" si="14"/>
        <v>1.6429692931195446E-2</v>
      </c>
      <c r="AD8" s="21">
        <f t="shared" si="15"/>
        <v>4.1074232327988618E-2</v>
      </c>
      <c r="AE8" s="21">
        <f t="shared" si="16"/>
        <v>2.4423533010685952</v>
      </c>
      <c r="AF8" s="21">
        <f t="shared" si="17"/>
        <v>14.42918978243485</v>
      </c>
    </row>
    <row r="9" spans="2:32" x14ac:dyDescent="0.25">
      <c r="B9" s="27" t="s">
        <v>19</v>
      </c>
      <c r="C9" s="20">
        <f>'10 year Gilt (2)'!C8</f>
        <v>2.125</v>
      </c>
      <c r="E9" s="79">
        <v>3</v>
      </c>
      <c r="F9" s="28">
        <f t="shared" si="1"/>
        <v>4.5569999999999999E-2</v>
      </c>
      <c r="G9" s="13">
        <f t="shared" si="2"/>
        <v>2.125</v>
      </c>
      <c r="H9" s="13">
        <f t="shared" si="3"/>
        <v>1.8590864824483295</v>
      </c>
      <c r="I9" s="18">
        <f t="shared" si="4"/>
        <v>1.8978911311578014E-2</v>
      </c>
      <c r="J9" s="21">
        <f t="shared" si="5"/>
        <v>5.6936733934734043E-2</v>
      </c>
      <c r="K9" s="21">
        <f t="shared" si="6"/>
        <v>2.3754271656057715</v>
      </c>
      <c r="L9" s="21">
        <f>E9*(E9+1)*H9</f>
        <v>22.309037789379953</v>
      </c>
      <c r="O9" s="79">
        <v>3</v>
      </c>
      <c r="P9" s="28">
        <f>P8+$P$2/2</f>
        <v>5.1820000000000005E-2</v>
      </c>
      <c r="Q9" s="13">
        <f t="shared" si="7"/>
        <v>2.125</v>
      </c>
      <c r="R9" s="13">
        <f t="shared" si="8"/>
        <v>1.8261424868070337</v>
      </c>
      <c r="S9" s="18">
        <f t="shared" si="0"/>
        <v>2.2042982888669641E-2</v>
      </c>
      <c r="T9" s="21">
        <f t="shared" si="9"/>
        <v>6.6128948666008922E-2</v>
      </c>
      <c r="U9" s="21">
        <f t="shared" si="10"/>
        <v>2.3509412888499996</v>
      </c>
      <c r="V9" s="21">
        <f t="shared" si="11"/>
        <v>19.174496111473854</v>
      </c>
      <c r="Y9" s="79">
        <v>3</v>
      </c>
      <c r="Z9" s="28">
        <f t="shared" si="18"/>
        <v>3.9319999999999994E-2</v>
      </c>
      <c r="AA9" s="13">
        <f t="shared" si="12"/>
        <v>2.125</v>
      </c>
      <c r="AB9" s="13">
        <f t="shared" si="13"/>
        <v>1.8928276893830711</v>
      </c>
      <c r="AC9" s="18">
        <f t="shared" si="14"/>
        <v>1.6164409528776222E-2</v>
      </c>
      <c r="AD9" s="21">
        <f t="shared" si="15"/>
        <v>4.8493228586328666E-2</v>
      </c>
      <c r="AE9" s="21">
        <f t="shared" si="16"/>
        <v>2.3400877654022687</v>
      </c>
      <c r="AF9" s="21">
        <f t="shared" si="17"/>
        <v>19.874690738522247</v>
      </c>
    </row>
    <row r="10" spans="2:32" x14ac:dyDescent="0.25">
      <c r="E10" s="79">
        <v>3.5</v>
      </c>
      <c r="F10" s="28">
        <f t="shared" si="1"/>
        <v>4.5569999999999999E-2</v>
      </c>
      <c r="G10" s="13">
        <f t="shared" si="2"/>
        <v>2.125</v>
      </c>
      <c r="H10" s="13">
        <f t="shared" si="3"/>
        <v>1.8181220595727288</v>
      </c>
      <c r="I10" s="18">
        <f t="shared" si="4"/>
        <v>1.8560716592813706E-2</v>
      </c>
      <c r="J10" s="21">
        <f t="shared" si="5"/>
        <v>6.4962508074847963E-2</v>
      </c>
      <c r="K10" s="21">
        <f t="shared" si="6"/>
        <v>2.2718968271906914</v>
      </c>
      <c r="L10" s="21">
        <f>E10*(E10+1)*H10</f>
        <v>28.635422438270478</v>
      </c>
      <c r="O10" s="79">
        <v>3.5</v>
      </c>
      <c r="P10" s="28">
        <f>P9+$P$2/2</f>
        <v>5.3070000000000006E-2</v>
      </c>
      <c r="Q10" s="13">
        <f t="shared" si="7"/>
        <v>2.125</v>
      </c>
      <c r="R10" s="13">
        <f t="shared" si="8"/>
        <v>1.773203549282099</v>
      </c>
      <c r="S10" s="18">
        <f t="shared" si="0"/>
        <v>2.1403968078797471E-2</v>
      </c>
      <c r="T10" s="21">
        <f t="shared" si="9"/>
        <v>7.4913888275791152E-2</v>
      </c>
      <c r="U10" s="21">
        <f t="shared" si="10"/>
        <v>2.2377737499999997</v>
      </c>
      <c r="V10" s="21">
        <f t="shared" si="11"/>
        <v>24.824849689949385</v>
      </c>
      <c r="Y10" s="79">
        <v>3.5</v>
      </c>
      <c r="Z10" s="28">
        <f t="shared" si="18"/>
        <v>3.8069999999999993E-2</v>
      </c>
      <c r="AA10" s="13">
        <f t="shared" si="12"/>
        <v>2.125</v>
      </c>
      <c r="AB10" s="13">
        <f t="shared" si="13"/>
        <v>1.8645141931248701</v>
      </c>
      <c r="AC10" s="18">
        <f t="shared" si="14"/>
        <v>1.5922617340677896E-2</v>
      </c>
      <c r="AD10" s="21">
        <f t="shared" si="15"/>
        <v>5.5729160692372631E-2</v>
      </c>
      <c r="AE10" s="21">
        <f t="shared" si="16"/>
        <v>2.2474958304125483</v>
      </c>
      <c r="AF10" s="21">
        <f t="shared" si="17"/>
        <v>26.103198703748181</v>
      </c>
    </row>
    <row r="11" spans="2:32" x14ac:dyDescent="0.25">
      <c r="E11" s="79">
        <v>4</v>
      </c>
      <c r="F11" s="28">
        <f t="shared" si="1"/>
        <v>4.5569999999999999E-2</v>
      </c>
      <c r="G11" s="13">
        <f t="shared" si="2"/>
        <v>2.125</v>
      </c>
      <c r="H11" s="13">
        <f t="shared" si="3"/>
        <v>1.7780602756853483</v>
      </c>
      <c r="I11" s="18">
        <f t="shared" si="4"/>
        <v>1.8151736671459601E-2</v>
      </c>
      <c r="J11" s="21">
        <f t="shared" si="5"/>
        <v>7.2606946685838405E-2</v>
      </c>
      <c r="K11" s="21">
        <f t="shared" si="6"/>
        <v>2.1728787428777525</v>
      </c>
      <c r="L11" s="21">
        <f>E11*(E11+1)*H11</f>
        <v>35.561205513706966</v>
      </c>
      <c r="O11" s="79">
        <v>4</v>
      </c>
      <c r="P11" s="28">
        <f>P10+$P$2/2</f>
        <v>5.4320000000000007E-2</v>
      </c>
      <c r="Q11" s="13">
        <f t="shared" si="7"/>
        <v>2.125</v>
      </c>
      <c r="R11" s="13">
        <f t="shared" si="8"/>
        <v>1.7197651915447727</v>
      </c>
      <c r="S11" s="18">
        <f t="shared" si="0"/>
        <v>2.075892487230481E-2</v>
      </c>
      <c r="T11" s="21">
        <f t="shared" si="9"/>
        <v>8.3035699489219239E-2</v>
      </c>
      <c r="U11" s="21">
        <f t="shared" si="10"/>
        <v>2.125</v>
      </c>
      <c r="V11" s="21">
        <f t="shared" si="11"/>
        <v>30.95577344780591</v>
      </c>
      <c r="Y11" s="79">
        <v>4</v>
      </c>
      <c r="Z11" s="28">
        <f t="shared" si="18"/>
        <v>3.6819999999999992E-2</v>
      </c>
      <c r="AA11" s="13">
        <f t="shared" si="12"/>
        <v>2.125</v>
      </c>
      <c r="AB11" s="13">
        <f t="shared" si="13"/>
        <v>1.8388464692942401</v>
      </c>
      <c r="AC11" s="18">
        <f t="shared" si="14"/>
        <v>1.5703419575346673E-2</v>
      </c>
      <c r="AD11" s="21">
        <f t="shared" si="15"/>
        <v>6.2813678301386691E-2</v>
      </c>
      <c r="AE11" s="21">
        <f t="shared" si="16"/>
        <v>2.1637676198011651</v>
      </c>
      <c r="AF11" s="21">
        <f t="shared" si="17"/>
        <v>33.09923644729632</v>
      </c>
    </row>
    <row r="12" spans="2:32" x14ac:dyDescent="0.25">
      <c r="E12" s="79">
        <v>4.5</v>
      </c>
      <c r="F12" s="28">
        <f t="shared" si="1"/>
        <v>4.5569999999999999E-2</v>
      </c>
      <c r="G12" s="13">
        <f t="shared" si="2"/>
        <v>2.125</v>
      </c>
      <c r="H12" s="13">
        <f t="shared" si="3"/>
        <v>1.7388812414020378</v>
      </c>
      <c r="I12" s="18">
        <f t="shared" si="4"/>
        <v>1.7751768502169824E-2</v>
      </c>
      <c r="J12" s="21">
        <f t="shared" si="5"/>
        <v>7.9882958259764214E-2</v>
      </c>
      <c r="K12" s="21">
        <f t="shared" si="6"/>
        <v>2.0781762511144657</v>
      </c>
      <c r="L12" s="21">
        <f>E12*(E12+1)*H12</f>
        <v>43.037310724700433</v>
      </c>
      <c r="O12" s="79">
        <v>4.5</v>
      </c>
      <c r="P12" s="28">
        <f>P11+$P$2/2</f>
        <v>5.5570000000000008E-2</v>
      </c>
      <c r="Q12" s="13">
        <f t="shared" si="7"/>
        <v>2.125</v>
      </c>
      <c r="R12" s="13">
        <f t="shared" si="8"/>
        <v>1.6659703194572064</v>
      </c>
      <c r="S12" s="18">
        <f t="shared" si="0"/>
        <v>2.0109578255876354E-2</v>
      </c>
      <c r="T12" s="21">
        <f t="shared" si="9"/>
        <v>9.04931021514436E-2</v>
      </c>
      <c r="U12" s="21">
        <f t="shared" si="10"/>
        <v>2.0131303466373622</v>
      </c>
      <c r="V12" s="21">
        <f t="shared" si="11"/>
        <v>37.484332187787146</v>
      </c>
      <c r="Y12" s="79">
        <v>4.5</v>
      </c>
      <c r="Z12" s="28">
        <f t="shared" si="18"/>
        <v>3.5569999999999991E-2</v>
      </c>
      <c r="AA12" s="13">
        <f t="shared" si="12"/>
        <v>2.125</v>
      </c>
      <c r="AB12" s="13">
        <f t="shared" si="13"/>
        <v>1.8157303862725567</v>
      </c>
      <c r="AC12" s="18">
        <f t="shared" si="14"/>
        <v>1.5506012365615147E-2</v>
      </c>
      <c r="AD12" s="21">
        <f t="shared" si="15"/>
        <v>6.9777055645268163E-2</v>
      </c>
      <c r="AE12" s="21">
        <f t="shared" si="16"/>
        <v>2.088186116902333</v>
      </c>
      <c r="AF12" s="21">
        <f t="shared" si="17"/>
        <v>40.853933691132525</v>
      </c>
    </row>
    <row r="13" spans="2:32" x14ac:dyDescent="0.25">
      <c r="E13" s="79">
        <v>5</v>
      </c>
      <c r="F13" s="28">
        <f t="shared" si="1"/>
        <v>4.5569999999999999E-2</v>
      </c>
      <c r="G13" s="13">
        <f t="shared" si="2"/>
        <v>2.125</v>
      </c>
      <c r="H13" s="13">
        <f t="shared" si="3"/>
        <v>1.7005655055953672</v>
      </c>
      <c r="I13" s="18">
        <f t="shared" si="4"/>
        <v>1.7360613513642893E-2</v>
      </c>
      <c r="J13" s="21">
        <f t="shared" si="5"/>
        <v>8.6803067568214459E-2</v>
      </c>
      <c r="K13" s="21">
        <f t="shared" si="6"/>
        <v>1.987601261622336</v>
      </c>
      <c r="L13" s="21">
        <f>E13*(E13+1)*H13</f>
        <v>51.016965167861017</v>
      </c>
      <c r="O13" s="79">
        <v>5</v>
      </c>
      <c r="P13" s="28">
        <f>P12+$P$2/2</f>
        <v>5.6820000000000009E-2</v>
      </c>
      <c r="Q13" s="13">
        <f t="shared" si="7"/>
        <v>2.125</v>
      </c>
      <c r="R13" s="13">
        <f t="shared" si="8"/>
        <v>1.6119583509290261</v>
      </c>
      <c r="S13" s="18">
        <f t="shared" si="0"/>
        <v>1.9457611113853527E-2</v>
      </c>
      <c r="T13" s="21">
        <f t="shared" si="9"/>
        <v>9.7288055569267631E-2</v>
      </c>
      <c r="U13" s="21">
        <f t="shared" si="10"/>
        <v>1.9026411582090905</v>
      </c>
      <c r="V13" s="21">
        <f t="shared" si="11"/>
        <v>44.328854650548223</v>
      </c>
      <c r="Y13" s="79">
        <v>5</v>
      </c>
      <c r="Z13" s="28">
        <f t="shared" si="18"/>
        <v>3.4319999999999989E-2</v>
      </c>
      <c r="AA13" s="13">
        <f t="shared" si="12"/>
        <v>2.125</v>
      </c>
      <c r="AB13" s="13">
        <f t="shared" si="13"/>
        <v>1.7950821242331283</v>
      </c>
      <c r="AC13" s="18">
        <f t="shared" si="14"/>
        <v>1.5329679905172543E-2</v>
      </c>
      <c r="AD13" s="21">
        <f t="shared" si="15"/>
        <v>7.664839952586272E-2</v>
      </c>
      <c r="AE13" s="21">
        <f t="shared" si="16"/>
        <v>2.0201171270699909</v>
      </c>
      <c r="AF13" s="21">
        <f t="shared" si="17"/>
        <v>49.364758416411028</v>
      </c>
    </row>
    <row r="14" spans="2:32" x14ac:dyDescent="0.25">
      <c r="E14" s="79">
        <v>5.5</v>
      </c>
      <c r="F14" s="28">
        <f t="shared" si="1"/>
        <v>4.5569999999999999E-2</v>
      </c>
      <c r="G14" s="13">
        <f t="shared" si="2"/>
        <v>2.125</v>
      </c>
      <c r="H14" s="13">
        <f t="shared" si="3"/>
        <v>1.6630940457377674</v>
      </c>
      <c r="I14" s="18">
        <f t="shared" si="4"/>
        <v>1.6978077510037416E-2</v>
      </c>
      <c r="J14" s="21">
        <f t="shared" si="5"/>
        <v>9.3379426305205793E-2</v>
      </c>
      <c r="K14" s="21">
        <f t="shared" si="6"/>
        <v>1.9009738818274582</v>
      </c>
      <c r="L14" s="21">
        <f>E14*(E14+1)*H14</f>
        <v>59.455612135125186</v>
      </c>
      <c r="O14" s="79">
        <v>5.5</v>
      </c>
      <c r="P14" s="28">
        <f>P13+$P$2/2</f>
        <v>5.807000000000001E-2</v>
      </c>
      <c r="Q14" s="13">
        <f t="shared" si="7"/>
        <v>2.125</v>
      </c>
      <c r="R14" s="13">
        <f t="shared" si="8"/>
        <v>1.5578646763253745</v>
      </c>
      <c r="S14" s="18">
        <f t="shared" si="0"/>
        <v>1.8804657714933153E-2</v>
      </c>
      <c r="T14" s="21">
        <f t="shared" si="9"/>
        <v>0.10342561743213234</v>
      </c>
      <c r="U14" s="21">
        <f t="shared" si="10"/>
        <v>1.7939722959827122</v>
      </c>
      <c r="V14" s="21">
        <f t="shared" si="11"/>
        <v>51.409534318737357</v>
      </c>
      <c r="Y14" s="79">
        <v>5.5</v>
      </c>
      <c r="Z14" s="28">
        <f t="shared" si="18"/>
        <v>3.3069999999999988E-2</v>
      </c>
      <c r="AA14" s="13">
        <f t="shared" si="12"/>
        <v>2.125</v>
      </c>
      <c r="AB14" s="13">
        <f t="shared" si="13"/>
        <v>1.7768276734811161</v>
      </c>
      <c r="AC14" s="18">
        <f t="shared" si="14"/>
        <v>1.5173790164477461E-2</v>
      </c>
      <c r="AD14" s="21">
        <f t="shared" si="15"/>
        <v>8.3455845904626028E-2</v>
      </c>
      <c r="AE14" s="21">
        <f t="shared" si="16"/>
        <v>1.9590005569887325</v>
      </c>
      <c r="AF14" s="21">
        <f t="shared" si="17"/>
        <v>58.635313224876839</v>
      </c>
    </row>
    <row r="15" spans="2:32" x14ac:dyDescent="0.25">
      <c r="E15" s="79">
        <v>6</v>
      </c>
      <c r="F15" s="28">
        <f t="shared" si="1"/>
        <v>4.5569999999999999E-2</v>
      </c>
      <c r="G15" s="13">
        <f t="shared" si="2"/>
        <v>2.125</v>
      </c>
      <c r="H15" s="13">
        <f t="shared" si="3"/>
        <v>1.6264482584574607</v>
      </c>
      <c r="I15" s="18">
        <f t="shared" si="4"/>
        <v>1.6603970574560183E-2</v>
      </c>
      <c r="J15" s="21">
        <f t="shared" si="5"/>
        <v>9.9623823447361093E-2</v>
      </c>
      <c r="K15" s="21">
        <f t="shared" si="6"/>
        <v>1.818122059572729</v>
      </c>
      <c r="L15" s="21">
        <f>E15*(E15+1)*H15</f>
        <v>68.31082685521335</v>
      </c>
      <c r="O15" s="79">
        <v>6</v>
      </c>
      <c r="P15" s="28">
        <f>P14+$P$2/2</f>
        <v>5.9320000000000012E-2</v>
      </c>
      <c r="Q15" s="13">
        <f t="shared" si="7"/>
        <v>2.125</v>
      </c>
      <c r="R15" s="13">
        <f t="shared" si="8"/>
        <v>1.5038201621920504</v>
      </c>
      <c r="S15" s="18">
        <f t="shared" si="0"/>
        <v>1.8152297721737719E-2</v>
      </c>
      <c r="T15" s="21">
        <f t="shared" si="9"/>
        <v>0.10891378633042631</v>
      </c>
      <c r="U15" s="21">
        <f t="shared" si="10"/>
        <v>1.6875251224596148</v>
      </c>
      <c r="V15" s="21">
        <f t="shared" si="11"/>
        <v>58.648986325489972</v>
      </c>
      <c r="Y15" s="79">
        <v>6</v>
      </c>
      <c r="Z15" s="28">
        <f t="shared" si="18"/>
        <v>3.1819999999999987E-2</v>
      </c>
      <c r="AA15" s="13">
        <f t="shared" si="12"/>
        <v>2.125</v>
      </c>
      <c r="AB15" s="13">
        <f t="shared" si="13"/>
        <v>1.7609023964802228</v>
      </c>
      <c r="AC15" s="18">
        <f t="shared" si="14"/>
        <v>1.5037791150544214E-2</v>
      </c>
      <c r="AD15" s="21">
        <f t="shared" si="15"/>
        <v>9.0226746903265292E-2</v>
      </c>
      <c r="AE15" s="21">
        <f t="shared" si="16"/>
        <v>1.9043428454165341</v>
      </c>
      <c r="AF15" s="21">
        <f t="shared" si="17"/>
        <v>68.6751934627287</v>
      </c>
    </row>
    <row r="16" spans="2:32" x14ac:dyDescent="0.25">
      <c r="E16" s="79">
        <v>6.5</v>
      </c>
      <c r="F16" s="28">
        <f t="shared" si="1"/>
        <v>4.5569999999999999E-2</v>
      </c>
      <c r="G16" s="13">
        <f t="shared" si="2"/>
        <v>2.125</v>
      </c>
      <c r="H16" s="13">
        <f t="shared" si="3"/>
        <v>1.5906099503024831</v>
      </c>
      <c r="I16" s="18">
        <f t="shared" si="4"/>
        <v>1.623810697517853E-2</v>
      </c>
      <c r="J16" s="21">
        <f t="shared" si="5"/>
        <v>0.10554769533866044</v>
      </c>
      <c r="K16" s="21">
        <f t="shared" si="6"/>
        <v>1.7388812414020376</v>
      </c>
      <c r="L16" s="21">
        <f>E16*(E16+1)*H16</f>
        <v>77.542235077246048</v>
      </c>
      <c r="O16" s="79">
        <v>6.5</v>
      </c>
      <c r="P16" s="28">
        <f>P15+$P$2/2</f>
        <v>6.0570000000000013E-2</v>
      </c>
      <c r="Q16" s="13">
        <f t="shared" si="7"/>
        <v>2.125</v>
      </c>
      <c r="R16" s="13">
        <f t="shared" si="8"/>
        <v>1.4499507001883891</v>
      </c>
      <c r="S16" s="18">
        <f t="shared" si="0"/>
        <v>1.7502050746078794E-2</v>
      </c>
      <c r="T16" s="21">
        <f t="shared" si="9"/>
        <v>0.11376332984951217</v>
      </c>
      <c r="U16" s="21">
        <f t="shared" si="10"/>
        <v>1.5836610788909775</v>
      </c>
      <c r="V16" s="21">
        <f t="shared" si="11"/>
        <v>65.972756858571699</v>
      </c>
      <c r="Y16" s="79">
        <v>6.5</v>
      </c>
      <c r="Z16" s="28">
        <f t="shared" si="18"/>
        <v>3.0569999999999986E-2</v>
      </c>
      <c r="AA16" s="13">
        <f t="shared" si="12"/>
        <v>2.125</v>
      </c>
      <c r="AB16" s="13">
        <f t="shared" si="13"/>
        <v>1.7472506499703679</v>
      </c>
      <c r="AC16" s="18">
        <f t="shared" si="14"/>
        <v>1.4921207679895463E-2</v>
      </c>
      <c r="AD16" s="21">
        <f t="shared" si="15"/>
        <v>9.698784991932051E-2</v>
      </c>
      <c r="AE16" s="21">
        <f t="shared" si="16"/>
        <v>1.8557104039484944</v>
      </c>
      <c r="AF16" s="21">
        <f t="shared" si="17"/>
        <v>79.499904573651733</v>
      </c>
    </row>
    <row r="17" spans="5:32" x14ac:dyDescent="0.25">
      <c r="E17" s="79">
        <v>7</v>
      </c>
      <c r="F17" s="28">
        <f t="shared" si="1"/>
        <v>4.5569999999999999E-2</v>
      </c>
      <c r="G17" s="13">
        <f t="shared" si="2"/>
        <v>2.125</v>
      </c>
      <c r="H17" s="13">
        <f t="shared" si="3"/>
        <v>1.5555613287082266</v>
      </c>
      <c r="I17" s="18">
        <f t="shared" si="4"/>
        <v>1.5880305072410436E-2</v>
      </c>
      <c r="J17" s="21">
        <f t="shared" si="5"/>
        <v>0.11116213550687305</v>
      </c>
      <c r="K17" s="21">
        <f t="shared" si="6"/>
        <v>1.6630940457377679</v>
      </c>
      <c r="L17" s="21">
        <f>E17*(E17+1)*H17</f>
        <v>87.111434407660695</v>
      </c>
      <c r="O17" s="79">
        <v>7</v>
      </c>
      <c r="P17" s="28">
        <f>P16+$P$2/2</f>
        <v>6.1820000000000014E-2</v>
      </c>
      <c r="Q17" s="13">
        <f t="shared" si="7"/>
        <v>2.125</v>
      </c>
      <c r="R17" s="13">
        <f t="shared" si="8"/>
        <v>1.3963768026716112</v>
      </c>
      <c r="S17" s="18">
        <f t="shared" si="0"/>
        <v>1.6855371467340528E-2</v>
      </c>
      <c r="T17" s="21">
        <f t="shared" si="9"/>
        <v>0.11798760027138369</v>
      </c>
      <c r="U17" s="21">
        <f t="shared" si="10"/>
        <v>1.4827008166127702</v>
      </c>
      <c r="V17" s="21">
        <f t="shared" si="11"/>
        <v>73.309782140259586</v>
      </c>
      <c r="Y17" s="79">
        <v>7</v>
      </c>
      <c r="Z17" s="28">
        <f t="shared" si="18"/>
        <v>2.9319999999999985E-2</v>
      </c>
      <c r="AA17" s="13">
        <f t="shared" si="12"/>
        <v>2.125</v>
      </c>
      <c r="AB17" s="13">
        <f t="shared" si="13"/>
        <v>1.735825464112114</v>
      </c>
      <c r="AC17" s="18">
        <f t="shared" si="14"/>
        <v>1.4823638638513048E-2</v>
      </c>
      <c r="AD17" s="21">
        <f t="shared" si="15"/>
        <v>0.10376547046959134</v>
      </c>
      <c r="AE17" s="21">
        <f t="shared" si="16"/>
        <v>1.8127239471126335</v>
      </c>
      <c r="AF17" s="21">
        <f t="shared" si="17"/>
        <v>91.130836865885982</v>
      </c>
    </row>
    <row r="18" spans="5:32" x14ac:dyDescent="0.25">
      <c r="E18" s="79">
        <v>7.5</v>
      </c>
      <c r="F18" s="28">
        <f t="shared" si="1"/>
        <v>4.5569999999999999E-2</v>
      </c>
      <c r="G18" s="13">
        <f t="shared" si="2"/>
        <v>2.125</v>
      </c>
      <c r="H18" s="13">
        <f t="shared" si="3"/>
        <v>1.5212849931639996</v>
      </c>
      <c r="I18" s="18">
        <f t="shared" si="4"/>
        <v>1.5530387229146332E-2</v>
      </c>
      <c r="J18" s="21">
        <f t="shared" si="5"/>
        <v>0.11647790421859749</v>
      </c>
      <c r="K18" s="21">
        <f t="shared" si="6"/>
        <v>1.5906099503024831</v>
      </c>
      <c r="L18" s="21">
        <f>E18*(E18+1)*H18</f>
        <v>96.981918314204975</v>
      </c>
      <c r="O18" s="79">
        <v>7.5</v>
      </c>
      <c r="P18" s="28">
        <f>P17+$P$2/2</f>
        <v>6.3070000000000015E-2</v>
      </c>
      <c r="Q18" s="13">
        <f t="shared" si="7"/>
        <v>2.125</v>
      </c>
      <c r="R18" s="13">
        <f t="shared" si="8"/>
        <v>1.3432132459339496</v>
      </c>
      <c r="S18" s="18">
        <f t="shared" si="0"/>
        <v>1.6213645326069864E-2</v>
      </c>
      <c r="T18" s="21">
        <f t="shared" si="9"/>
        <v>0.12160233994552398</v>
      </c>
      <c r="U18" s="21">
        <f t="shared" si="10"/>
        <v>1.3849238587357078</v>
      </c>
      <c r="V18" s="21">
        <f t="shared" si="11"/>
        <v>80.59279475603698</v>
      </c>
      <c r="Y18" s="79">
        <v>7.5</v>
      </c>
      <c r="Z18" s="28">
        <f t="shared" si="18"/>
        <v>2.8069999999999984E-2</v>
      </c>
      <c r="AA18" s="13">
        <f t="shared" si="12"/>
        <v>2.125</v>
      </c>
      <c r="AB18" s="13">
        <f t="shared" si="13"/>
        <v>1.7265882760935354</v>
      </c>
      <c r="AC18" s="18">
        <f t="shared" si="14"/>
        <v>1.4744754706888359E-2</v>
      </c>
      <c r="AD18" s="21">
        <f t="shared" si="15"/>
        <v>0.1105856603016627</v>
      </c>
      <c r="AE18" s="21">
        <f t="shared" si="16"/>
        <v>1.775053609003481</v>
      </c>
      <c r="AF18" s="21">
        <f t="shared" si="17"/>
        <v>103.59529656561212</v>
      </c>
    </row>
    <row r="19" spans="5:32" x14ac:dyDescent="0.25">
      <c r="E19" s="79">
        <v>8</v>
      </c>
      <c r="F19" s="28">
        <f t="shared" si="1"/>
        <v>4.5569999999999999E-2</v>
      </c>
      <c r="G19" s="13">
        <f t="shared" si="2"/>
        <v>2.125</v>
      </c>
      <c r="H19" s="13">
        <f t="shared" si="3"/>
        <v>1.4877639265742384</v>
      </c>
      <c r="I19" s="18">
        <f t="shared" si="4"/>
        <v>1.5188179722458024E-2</v>
      </c>
      <c r="J19" s="21">
        <f t="shared" si="5"/>
        <v>0.12150543777966419</v>
      </c>
      <c r="K19" s="21">
        <f t="shared" si="6"/>
        <v>1.5212849931639998</v>
      </c>
      <c r="L19" s="21">
        <f>E19*(E19+1)*H19</f>
        <v>107.11900271334517</v>
      </c>
      <c r="O19" s="87">
        <v>8</v>
      </c>
      <c r="P19" s="36">
        <f>P18+$P$2/2</f>
        <v>6.4320000000000016E-2</v>
      </c>
      <c r="Q19" s="44">
        <f t="shared" si="7"/>
        <v>2.125</v>
      </c>
      <c r="R19" s="44">
        <f t="shared" si="8"/>
        <v>1.2905687616603536</v>
      </c>
      <c r="S19" s="38">
        <f t="shared" si="0"/>
        <v>1.5578184799627198E-2</v>
      </c>
      <c r="T19" s="37">
        <f t="shared" si="9"/>
        <v>0.12462547839701758</v>
      </c>
      <c r="U19" s="37">
        <f t="shared" si="10"/>
        <v>1.2905687616603536</v>
      </c>
      <c r="V19" s="37">
        <f t="shared" si="11"/>
        <v>87.758675792904043</v>
      </c>
      <c r="Y19" s="79">
        <v>8</v>
      </c>
      <c r="Z19" s="28">
        <f t="shared" si="18"/>
        <v>2.6819999999999983E-2</v>
      </c>
      <c r="AA19" s="13">
        <f t="shared" si="12"/>
        <v>2.125</v>
      </c>
      <c r="AB19" s="13">
        <f t="shared" si="13"/>
        <v>1.7195087161091049</v>
      </c>
      <c r="AC19" s="18">
        <f t="shared" si="14"/>
        <v>1.4684296532320357E-2</v>
      </c>
      <c r="AD19" s="21">
        <f t="shared" si="15"/>
        <v>0.11747437225856286</v>
      </c>
      <c r="AE19" s="21">
        <f t="shared" si="16"/>
        <v>1.7424147591786672</v>
      </c>
      <c r="AF19" s="21">
        <f t="shared" si="17"/>
        <v>116.92659269541913</v>
      </c>
    </row>
    <row r="20" spans="5:32" x14ac:dyDescent="0.25">
      <c r="E20" s="87">
        <v>8.5</v>
      </c>
      <c r="F20" s="36">
        <f t="shared" si="1"/>
        <v>4.5569999999999999E-2</v>
      </c>
      <c r="G20" s="44">
        <f t="shared" si="2"/>
        <v>2.125</v>
      </c>
      <c r="H20" s="44">
        <f t="shared" si="3"/>
        <v>1.4549814868100646</v>
      </c>
      <c r="I20" s="38">
        <f t="shared" si="4"/>
        <v>1.4853512657350848E-2</v>
      </c>
      <c r="J20" s="37">
        <f t="shared" si="5"/>
        <v>0.1262548575874822</v>
      </c>
      <c r="K20" s="37">
        <f t="shared" si="6"/>
        <v>1.4549814868100646</v>
      </c>
      <c r="L20" s="37">
        <f>E20*(E20+1)*H20</f>
        <v>117.48975505991271</v>
      </c>
      <c r="O20" s="79">
        <v>8.5</v>
      </c>
      <c r="P20" s="28">
        <f>P19+$P$2/2</f>
        <v>6.5570000000000017E-2</v>
      </c>
      <c r="Q20" s="13">
        <f t="shared" si="7"/>
        <v>2.125</v>
      </c>
      <c r="R20" s="13">
        <f t="shared" si="8"/>
        <v>1.2385457767541899</v>
      </c>
      <c r="S20" s="18">
        <f t="shared" si="0"/>
        <v>1.4950226261676998E-2</v>
      </c>
      <c r="T20" s="21">
        <f t="shared" si="9"/>
        <v>0.12707692322425448</v>
      </c>
      <c r="U20" s="6"/>
      <c r="V20" s="21">
        <f t="shared" si="11"/>
        <v>94.748751921695529</v>
      </c>
      <c r="Y20" s="87">
        <v>8.5</v>
      </c>
      <c r="Z20" s="36">
        <f t="shared" si="18"/>
        <v>2.5569999999999982E-2</v>
      </c>
      <c r="AA20" s="44">
        <f t="shared" si="12"/>
        <v>2.125</v>
      </c>
      <c r="AB20" s="44">
        <f t="shared" si="13"/>
        <v>1.7145644440731735</v>
      </c>
      <c r="AC20" s="38">
        <f t="shared" si="14"/>
        <v>1.4642073334477916E-2</v>
      </c>
      <c r="AD20" s="37">
        <f t="shared" si="15"/>
        <v>0.12445762334306229</v>
      </c>
      <c r="AE20" s="37">
        <f t="shared" si="16"/>
        <v>1.7145644440731735</v>
      </c>
      <c r="AF20" s="37">
        <f t="shared" si="17"/>
        <v>131.16417997159778</v>
      </c>
    </row>
    <row r="21" spans="5:32" x14ac:dyDescent="0.25">
      <c r="E21" s="79">
        <v>9</v>
      </c>
      <c r="F21" s="28">
        <f t="shared" si="1"/>
        <v>4.5569999999999999E-2</v>
      </c>
      <c r="G21" s="13">
        <f t="shared" si="2"/>
        <v>2.125</v>
      </c>
      <c r="H21" s="13">
        <f t="shared" si="3"/>
        <v>1.4229213984470079</v>
      </c>
      <c r="I21" s="18">
        <f t="shared" si="4"/>
        <v>1.452621988241631E-2</v>
      </c>
      <c r="J21" s="21">
        <f t="shared" si="5"/>
        <v>0.13073597894174679</v>
      </c>
      <c r="K21" s="6"/>
      <c r="L21" s="21">
        <f>E21*(E21+1)*H21</f>
        <v>128.06292586023071</v>
      </c>
      <c r="O21" s="79">
        <v>9</v>
      </c>
      <c r="P21" s="28">
        <f>P20+$P$2/2</f>
        <v>6.6820000000000018E-2</v>
      </c>
      <c r="Q21" s="13">
        <f t="shared" si="7"/>
        <v>2.125</v>
      </c>
      <c r="R21" s="13">
        <f t="shared" si="8"/>
        <v>1.1872402012750056</v>
      </c>
      <c r="S21" s="18">
        <f t="shared" si="0"/>
        <v>1.4330927422429023E-2</v>
      </c>
      <c r="T21" s="21">
        <f t="shared" si="9"/>
        <v>0.12897834680186121</v>
      </c>
      <c r="U21" s="6"/>
      <c r="V21" s="21">
        <f t="shared" si="11"/>
        <v>101.50903720901299</v>
      </c>
      <c r="Y21" s="79">
        <v>9</v>
      </c>
      <c r="Z21" s="28">
        <f t="shared" si="18"/>
        <v>2.4319999999999981E-2</v>
      </c>
      <c r="AA21" s="13">
        <f t="shared" si="12"/>
        <v>2.125</v>
      </c>
      <c r="AB21" s="13">
        <f t="shared" si="13"/>
        <v>1.7117410358678995</v>
      </c>
      <c r="AC21" s="18">
        <f t="shared" si="14"/>
        <v>1.4617961933977519E-2</v>
      </c>
      <c r="AD21" s="21">
        <f t="shared" si="15"/>
        <v>0.13156165740579767</v>
      </c>
      <c r="AE21" s="6"/>
      <c r="AF21" s="21">
        <f t="shared" si="17"/>
        <v>146.35385856670541</v>
      </c>
    </row>
    <row r="22" spans="5:32" x14ac:dyDescent="0.25">
      <c r="E22" s="79">
        <v>9.5</v>
      </c>
      <c r="F22" s="28">
        <f t="shared" si="1"/>
        <v>4.5569999999999999E-2</v>
      </c>
      <c r="G22" s="13">
        <f t="shared" si="2"/>
        <v>2.125</v>
      </c>
      <c r="H22" s="13">
        <f t="shared" si="3"/>
        <v>1.3915677446847792</v>
      </c>
      <c r="I22" s="18">
        <f t="shared" si="4"/>
        <v>1.4206138907343218E-2</v>
      </c>
      <c r="J22" s="21">
        <f t="shared" si="5"/>
        <v>0.13495831961976057</v>
      </c>
      <c r="K22" s="6"/>
      <c r="L22" s="21">
        <f>E22*(E22+1)*H22</f>
        <v>138.80888253230671</v>
      </c>
      <c r="O22" s="79">
        <v>9.5</v>
      </c>
      <c r="P22" s="28">
        <f>P21+$P$2/2</f>
        <v>6.8070000000000019E-2</v>
      </c>
      <c r="Q22" s="13">
        <f t="shared" si="7"/>
        <v>2.125</v>
      </c>
      <c r="R22" s="13">
        <f t="shared" si="8"/>
        <v>1.1367412638494392</v>
      </c>
      <c r="S22" s="18">
        <f t="shared" si="0"/>
        <v>1.372136534191795E-2</v>
      </c>
      <c r="T22" s="21">
        <f t="shared" si="9"/>
        <v>0.13035297074822053</v>
      </c>
      <c r="U22" s="6"/>
      <c r="V22" s="21">
        <f t="shared" si="11"/>
        <v>107.99042006569672</v>
      </c>
      <c r="Y22" s="79">
        <v>9.5</v>
      </c>
      <c r="Z22" s="28">
        <f t="shared" si="18"/>
        <v>2.3069999999999979E-2</v>
      </c>
      <c r="AA22" s="13">
        <f t="shared" si="12"/>
        <v>2.125</v>
      </c>
      <c r="AB22" s="13">
        <f t="shared" si="13"/>
        <v>1.7110319183516614</v>
      </c>
      <c r="AC22" s="18">
        <f t="shared" si="14"/>
        <v>1.4611906197366735E-2</v>
      </c>
      <c r="AD22" s="21">
        <f t="shared" si="15"/>
        <v>0.13881310887498399</v>
      </c>
      <c r="AE22" s="6"/>
      <c r="AF22" s="21">
        <f t="shared" si="17"/>
        <v>162.54803224340782</v>
      </c>
    </row>
    <row r="23" spans="5:32" x14ac:dyDescent="0.25">
      <c r="E23" s="79">
        <v>10</v>
      </c>
      <c r="F23" s="28">
        <f t="shared" si="1"/>
        <v>4.5569999999999999E-2</v>
      </c>
      <c r="G23" s="13">
        <f>$C$9+$C$5</f>
        <v>102.125</v>
      </c>
      <c r="H23" s="13">
        <f t="shared" si="3"/>
        <v>65.403491286273095</v>
      </c>
      <c r="I23" s="18">
        <f t="shared" si="4"/>
        <v>0.66768656128090698</v>
      </c>
      <c r="J23" s="21">
        <f t="shared" si="5"/>
        <v>6.6768656128090695</v>
      </c>
      <c r="K23" s="6"/>
      <c r="L23" s="21">
        <f>E23*(E23+1)*H23</f>
        <v>7194.3840414900405</v>
      </c>
      <c r="O23" s="79">
        <v>10</v>
      </c>
      <c r="P23" s="28">
        <f>P22+$P$2/2</f>
        <v>6.932000000000002E-2</v>
      </c>
      <c r="Q23" s="13">
        <f>$C$9+C5</f>
        <v>102.125</v>
      </c>
      <c r="R23" s="13">
        <f t="shared" si="8"/>
        <v>52.246255796244817</v>
      </c>
      <c r="S23" s="18">
        <f t="shared" si="0"/>
        <v>0.63065359402887411</v>
      </c>
      <c r="T23" s="21">
        <f t="shared" si="9"/>
        <v>6.3065359402887413</v>
      </c>
      <c r="U23" s="6"/>
      <c r="V23" s="21">
        <f t="shared" si="11"/>
        <v>5485.8568586057054</v>
      </c>
      <c r="Y23" s="79">
        <v>10</v>
      </c>
      <c r="Z23" s="28">
        <f t="shared" si="18"/>
        <v>2.1819999999999978E-2</v>
      </c>
      <c r="AA23" s="13">
        <f>$C$9+C5</f>
        <v>102.125</v>
      </c>
      <c r="AB23" s="13">
        <f t="shared" si="13"/>
        <v>82.297772600963938</v>
      </c>
      <c r="AC23" s="18">
        <f t="shared" si="14"/>
        <v>0.70280824138919007</v>
      </c>
      <c r="AD23" s="21">
        <f t="shared" si="15"/>
        <v>7.0280824138919007</v>
      </c>
      <c r="AE23" s="6"/>
      <c r="AF23" s="21">
        <f t="shared" si="17"/>
        <v>8641.2661231012135</v>
      </c>
    </row>
    <row r="24" spans="5:32" x14ac:dyDescent="0.25">
      <c r="E24" s="10"/>
      <c r="F24" s="10"/>
      <c r="G24" s="16"/>
      <c r="H24" s="14">
        <f>SUM(H4:H23)</f>
        <v>97.955380681620071</v>
      </c>
      <c r="I24" s="22"/>
      <c r="J24" s="22">
        <f>SUM(J4:J23)</f>
        <v>8.2276994448555314</v>
      </c>
      <c r="K24" s="22">
        <f>SUM(K4:K20)</f>
        <v>36.176878191565272</v>
      </c>
      <c r="L24" s="22">
        <f>SUM(L4:L23)</f>
        <v>8297.1998332848143</v>
      </c>
      <c r="O24" s="10"/>
      <c r="P24" s="10"/>
      <c r="Q24" s="16"/>
      <c r="R24" s="14">
        <f>SUM(R4:R23)</f>
        <v>82.844617537932805</v>
      </c>
      <c r="S24" s="22"/>
      <c r="T24" s="22">
        <f>SUM(T4:T23)</f>
        <v>7.9713042627530477</v>
      </c>
      <c r="U24" s="22">
        <f>SUM(U4:U19)</f>
        <v>33.279568132747002</v>
      </c>
      <c r="V24" s="22">
        <f>SUM(V4:V23)</f>
        <v>6398.3293640984048</v>
      </c>
      <c r="Y24" s="10"/>
      <c r="Z24" s="10"/>
      <c r="AA24" s="14"/>
      <c r="AB24" s="14">
        <f>SUM(AB4:AB23)</f>
        <v>117.09847402798223</v>
      </c>
      <c r="AC24" s="22"/>
      <c r="AD24" s="22">
        <f>SUM(AD4:AD23)</f>
        <v>8.4651882565651757</v>
      </c>
      <c r="AE24" s="22">
        <f>SUM(AE4:AE20)</f>
        <v>37.085939705509098</v>
      </c>
      <c r="AF24" s="22">
        <f>SUM(AF4:AF23)</f>
        <v>9803.385024257499</v>
      </c>
    </row>
    <row r="26" spans="5:32" x14ac:dyDescent="0.25">
      <c r="E26" s="17" t="s">
        <v>12</v>
      </c>
      <c r="F26" s="23">
        <f>J24</f>
        <v>8.2276994448555314</v>
      </c>
      <c r="O26" s="17" t="s">
        <v>12</v>
      </c>
      <c r="P26" s="23">
        <f>T24</f>
        <v>7.9713042627530477</v>
      </c>
      <c r="Y26" s="17" t="s">
        <v>12</v>
      </c>
      <c r="Z26" s="23">
        <f>AD24</f>
        <v>8.4651882565651757</v>
      </c>
    </row>
    <row r="27" spans="5:32" x14ac:dyDescent="0.25">
      <c r="E27" s="26" t="s">
        <v>13</v>
      </c>
      <c r="F27" s="21">
        <f>F26/(1+$C$6)</f>
        <v>7.8691043592064904</v>
      </c>
      <c r="O27" s="26" t="s">
        <v>13</v>
      </c>
      <c r="P27" s="21">
        <f>P26/(1+$C$6)</f>
        <v>7.6238838745880688</v>
      </c>
      <c r="Y27" s="26" t="s">
        <v>13</v>
      </c>
      <c r="Z27" s="21">
        <f>Z26/(1+$C$6)</f>
        <v>8.0962424864573155</v>
      </c>
    </row>
    <row r="28" spans="5:32" x14ac:dyDescent="0.25">
      <c r="E28" s="26" t="s">
        <v>14</v>
      </c>
      <c r="F28" s="21">
        <f>L24/(H24*(1+$C$6/2)^2)</f>
        <v>80.971941558421051</v>
      </c>
      <c r="O28" s="26" t="s">
        <v>14</v>
      </c>
      <c r="P28" s="21">
        <f>V24/(R24*(1+$C$6/2)^2)</f>
        <v>73.830123482353045</v>
      </c>
      <c r="Y28" s="26" t="s">
        <v>14</v>
      </c>
      <c r="Z28" s="21">
        <f>AF24/(AB24*(1+$C$6/2)^2)</f>
        <v>80.030609407542272</v>
      </c>
    </row>
    <row r="29" spans="5:32" x14ac:dyDescent="0.25">
      <c r="E29" s="27" t="s">
        <v>29</v>
      </c>
      <c r="F29" s="20">
        <f>H24*F27*0.0001</f>
        <v>7.7082111312946788E-2</v>
      </c>
      <c r="O29" s="27" t="s">
        <v>29</v>
      </c>
      <c r="P29" s="20">
        <f>R24*P27*0.0001</f>
        <v>6.3159774374386191E-2</v>
      </c>
      <c r="Y29" s="27" t="s">
        <v>29</v>
      </c>
      <c r="Z29" s="20">
        <f>AB24*Z27*0.0001</f>
        <v>9.4805764052466837E-2</v>
      </c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1997-DA58-4986-AB57-A23AB451DF3B}">
  <dimension ref="B1:V63"/>
  <sheetViews>
    <sheetView showGridLines="0" tabSelected="1" topLeftCell="B1" zoomScale="101" workbookViewId="0">
      <selection activeCell="C13" sqref="C13"/>
    </sheetView>
  </sheetViews>
  <sheetFormatPr defaultRowHeight="13.8" x14ac:dyDescent="0.25"/>
  <cols>
    <col min="2" max="2" width="27.109375" bestFit="1" customWidth="1"/>
    <col min="3" max="3" width="12" bestFit="1" customWidth="1"/>
    <col min="6" max="6" width="7.109375" bestFit="1" customWidth="1"/>
    <col min="7" max="7" width="10.77734375" bestFit="1" customWidth="1"/>
    <col min="8" max="8" width="10.5546875" bestFit="1" customWidth="1"/>
    <col min="9" max="9" width="22.109375" bestFit="1" customWidth="1"/>
    <col min="10" max="10" width="13.77734375" bestFit="1" customWidth="1"/>
    <col min="11" max="11" width="16.21875" bestFit="1" customWidth="1"/>
    <col min="14" max="14" width="6.5546875" bestFit="1" customWidth="1"/>
    <col min="15" max="15" width="9.44140625" bestFit="1" customWidth="1"/>
    <col min="16" max="16" width="22.33203125" bestFit="1" customWidth="1"/>
    <col min="17" max="17" width="24.77734375" bestFit="1" customWidth="1"/>
  </cols>
  <sheetData>
    <row r="1" spans="2:22" x14ac:dyDescent="0.25">
      <c r="V1" s="29"/>
    </row>
    <row r="2" spans="2:22" x14ac:dyDescent="0.25">
      <c r="B2" s="75" t="s">
        <v>4</v>
      </c>
      <c r="C2" s="75"/>
      <c r="F2" s="9" t="s">
        <v>7</v>
      </c>
      <c r="G2" s="9" t="s">
        <v>8</v>
      </c>
      <c r="H2" s="9" t="s">
        <v>9</v>
      </c>
      <c r="I2" s="9" t="s">
        <v>15</v>
      </c>
      <c r="J2" s="9" t="s">
        <v>10</v>
      </c>
      <c r="K2" s="9" t="s">
        <v>11</v>
      </c>
      <c r="N2" s="25" t="s">
        <v>16</v>
      </c>
      <c r="O2" s="25" t="s">
        <v>0</v>
      </c>
      <c r="P2" s="25" t="s">
        <v>17</v>
      </c>
      <c r="Q2" s="25" t="s">
        <v>18</v>
      </c>
      <c r="U2" s="2"/>
    </row>
    <row r="3" spans="2:22" x14ac:dyDescent="0.25">
      <c r="B3" s="26" t="s">
        <v>0</v>
      </c>
      <c r="C3" s="42">
        <f>H63</f>
        <v>86.576454352517374</v>
      </c>
      <c r="F3" s="79">
        <v>0.5</v>
      </c>
      <c r="G3" s="82">
        <f>$C$8</f>
        <v>2.1875</v>
      </c>
      <c r="H3" s="82">
        <f>G3/(1+$C$5)^F3</f>
        <v>2.1313334681327465</v>
      </c>
      <c r="I3" s="21">
        <f>H3/$H$63</f>
        <v>2.4617934334137743E-2</v>
      </c>
      <c r="J3" s="21">
        <f>I3*F3</f>
        <v>1.2308967167068871E-2</v>
      </c>
      <c r="K3" s="21">
        <f>F3*H3*(F3+0.5)</f>
        <v>1.0656667340663732</v>
      </c>
      <c r="N3" s="31">
        <v>0.01</v>
      </c>
      <c r="O3" s="43">
        <v>152.07025368034948</v>
      </c>
      <c r="P3" s="43">
        <f>$H$63*(1-$C$12*(N3-$C$5))</f>
        <v>143.59933022248501</v>
      </c>
      <c r="Q3" s="43">
        <f>(1+((-$C$12*(N3-$C$5))+(0.5*$C$13*(N3-$C$5)^2)))*$H$63</f>
        <v>172.75539476354291</v>
      </c>
      <c r="T3" s="3"/>
      <c r="U3" s="2"/>
    </row>
    <row r="4" spans="2:22" x14ac:dyDescent="0.25">
      <c r="B4" s="26" t="s">
        <v>5</v>
      </c>
      <c r="C4" s="42">
        <v>100</v>
      </c>
      <c r="F4" s="79">
        <v>1</v>
      </c>
      <c r="G4" s="82">
        <f>$C$8</f>
        <v>2.1875</v>
      </c>
      <c r="H4" s="82">
        <f t="shared" ref="H4:H62" si="0">G4/(1+$C$5)^F4</f>
        <v>2.0766090753749764</v>
      </c>
      <c r="I4" s="21">
        <f t="shared" ref="I4:I62" si="1">H4/$H$63</f>
        <v>2.3985841080064917E-2</v>
      </c>
      <c r="J4" s="21">
        <f t="shared" ref="J4:J62" si="2">I4*F4</f>
        <v>2.3985841080064917E-2</v>
      </c>
      <c r="K4" s="21">
        <f t="shared" ref="K4:K62" si="3">F4*H4*(F4+0.5)</f>
        <v>3.1149136130624644</v>
      </c>
      <c r="N4" s="8">
        <v>1.4999999999999999E-2</v>
      </c>
      <c r="O4" s="13">
        <v>126.50693203977737</v>
      </c>
      <c r="P4" s="13">
        <f>$H$63*(1-$C$12*(N4-$C$5))</f>
        <v>137.02987447709705</v>
      </c>
      <c r="Q4" s="13">
        <f>(1+((-$C$12*(N4-$C$5))+(0.5*$C$13*(N4-$C$5)^2)))*$H$63</f>
        <v>159.85493262744126</v>
      </c>
      <c r="T4" s="3"/>
      <c r="U4" s="2"/>
    </row>
    <row r="5" spans="2:22" x14ac:dyDescent="0.25">
      <c r="B5" s="26" t="s">
        <v>1</v>
      </c>
      <c r="C5" s="7">
        <v>5.3400000000000003E-2</v>
      </c>
      <c r="F5" s="79">
        <v>1.5</v>
      </c>
      <c r="G5" s="82">
        <f>$C$8</f>
        <v>2.1875</v>
      </c>
      <c r="H5" s="82">
        <f t="shared" si="0"/>
        <v>2.0232897931770903</v>
      </c>
      <c r="I5" s="21">
        <f t="shared" si="1"/>
        <v>2.3369977533831163E-2</v>
      </c>
      <c r="J5" s="21">
        <f t="shared" si="2"/>
        <v>3.5054966300746747E-2</v>
      </c>
      <c r="K5" s="21">
        <f t="shared" si="3"/>
        <v>6.069869379531271</v>
      </c>
      <c r="N5" s="8">
        <v>0.02</v>
      </c>
      <c r="O5" s="13">
        <v>106.40222996852486</v>
      </c>
      <c r="P5" s="13">
        <f>$H$63*(1-$C$12*(N5-$C$5))</f>
        <v>130.46041873170904</v>
      </c>
      <c r="Q5" s="13">
        <f>(1+((-$C$12*(N5-$C$5))+(0.5*$C$13*(N5-$C$5)^2)))*$H$63</f>
        <v>147.72843215279602</v>
      </c>
      <c r="T5" s="3"/>
      <c r="U5" s="2"/>
    </row>
    <row r="6" spans="2:22" x14ac:dyDescent="0.25">
      <c r="B6" s="26" t="s">
        <v>6</v>
      </c>
      <c r="C6" s="7">
        <v>4.3749999999999997E-2</v>
      </c>
      <c r="F6" s="79">
        <v>2</v>
      </c>
      <c r="G6" s="82">
        <f>$C$8</f>
        <v>2.1875</v>
      </c>
      <c r="H6" s="82">
        <f t="shared" si="0"/>
        <v>1.971339543739298</v>
      </c>
      <c r="I6" s="21">
        <f t="shared" si="1"/>
        <v>2.2769926979366736E-2</v>
      </c>
      <c r="J6" s="21">
        <f t="shared" si="2"/>
        <v>4.5539853958733473E-2</v>
      </c>
      <c r="K6" s="21">
        <f t="shared" si="3"/>
        <v>9.8566977186964895</v>
      </c>
      <c r="N6" s="8">
        <v>2.5000000000000001E-2</v>
      </c>
      <c r="O6" s="13">
        <v>90.484872743870909</v>
      </c>
      <c r="P6" s="13">
        <f>$H$63*(1-$C$12*(N6-$C$5))</f>
        <v>123.89096298632109</v>
      </c>
      <c r="Q6" s="13">
        <f>(1+((-$C$12*(N6-$C$5))+(0.5*$C$13*(N6-$C$5)^2)))*$H$63</f>
        <v>136.37589333960725</v>
      </c>
      <c r="T6" s="3"/>
      <c r="U6" s="2"/>
    </row>
    <row r="7" spans="2:22" x14ac:dyDescent="0.25">
      <c r="B7" s="26" t="s">
        <v>2</v>
      </c>
      <c r="C7" s="82">
        <f>C4*C6</f>
        <v>4.375</v>
      </c>
      <c r="F7" s="79">
        <v>2.5</v>
      </c>
      <c r="G7" s="82">
        <f>$C$8</f>
        <v>2.1875</v>
      </c>
      <c r="H7" s="82">
        <f t="shared" si="0"/>
        <v>1.9207231756000478</v>
      </c>
      <c r="I7" s="21">
        <f t="shared" si="1"/>
        <v>2.2185283400257418E-2</v>
      </c>
      <c r="J7" s="21">
        <f t="shared" si="2"/>
        <v>5.546320850064354E-2</v>
      </c>
      <c r="K7" s="21">
        <f t="shared" si="3"/>
        <v>14.405423817000358</v>
      </c>
      <c r="N7" s="8">
        <v>0.03</v>
      </c>
      <c r="O7" s="13">
        <v>77.793558036623821</v>
      </c>
      <c r="P7" s="13">
        <f>$H$63*(1-$C$12*(N7-$C$5))</f>
        <v>117.3215072409331</v>
      </c>
      <c r="Q7" s="13">
        <f>(1+((-$C$12*(N7-$C$5))+(0.5*$C$13*(N7-$C$5)^2)))*$H$63</f>
        <v>125.7973161878749</v>
      </c>
      <c r="T7" s="3"/>
      <c r="U7" s="2"/>
    </row>
    <row r="8" spans="2:22" x14ac:dyDescent="0.25">
      <c r="B8" s="27" t="s">
        <v>19</v>
      </c>
      <c r="C8" s="84">
        <f>C7/2</f>
        <v>2.1875</v>
      </c>
      <c r="F8" s="79">
        <v>3</v>
      </c>
      <c r="G8" s="82">
        <f>$C$8</f>
        <v>2.1875</v>
      </c>
      <c r="H8" s="82">
        <f t="shared" si="0"/>
        <v>1.8714064398512418</v>
      </c>
      <c r="I8" s="21">
        <f t="shared" si="1"/>
        <v>2.1615651205018738E-2</v>
      </c>
      <c r="J8" s="21">
        <f t="shared" si="2"/>
        <v>6.4846953615056213E-2</v>
      </c>
      <c r="K8" s="21">
        <f t="shared" si="3"/>
        <v>19.649767618438037</v>
      </c>
      <c r="N8" s="8">
        <v>3.5000000000000003E-2</v>
      </c>
      <c r="O8" s="13">
        <v>67.599070067360429</v>
      </c>
      <c r="P8" s="13">
        <f>$H$63*(1-$C$12*(N8-$C$5))</f>
        <v>110.75205149554513</v>
      </c>
      <c r="Q8" s="13">
        <f>(1+((-$C$12*(N8-$C$5))+(0.5*$C$13*(N8-$C$5)^2)))*$H$63</f>
        <v>115.99270069759899</v>
      </c>
      <c r="T8" s="3"/>
      <c r="U8" s="2"/>
    </row>
    <row r="9" spans="2:22" x14ac:dyDescent="0.25">
      <c r="F9" s="79">
        <v>3.5</v>
      </c>
      <c r="G9" s="82">
        <f>$C$8</f>
        <v>2.1875</v>
      </c>
      <c r="H9" s="82">
        <f t="shared" si="0"/>
        <v>1.8233559669641617</v>
      </c>
      <c r="I9" s="21">
        <f t="shared" si="1"/>
        <v>2.1060644959424168E-2</v>
      </c>
      <c r="J9" s="21">
        <f t="shared" si="2"/>
        <v>7.371225735798459E-2</v>
      </c>
      <c r="K9" s="21">
        <f t="shared" si="3"/>
        <v>25.526983537498264</v>
      </c>
      <c r="N9" s="8">
        <v>0.04</v>
      </c>
      <c r="O9" s="13">
        <v>59.346410254034467</v>
      </c>
      <c r="P9" s="13">
        <f>$H$63*(1-$C$12*(N9-$C$5))</f>
        <v>104.18259575015716</v>
      </c>
      <c r="Q9" s="13">
        <f>(1+((-$C$12*(N9-$C$5))+(0.5*$C$13*(N9-$C$5)^2)))*$H$63</f>
        <v>106.96204686877952</v>
      </c>
      <c r="T9" s="3"/>
      <c r="U9" s="2"/>
    </row>
    <row r="10" spans="2:22" x14ac:dyDescent="0.25">
      <c r="F10" s="79">
        <v>4</v>
      </c>
      <c r="G10" s="82">
        <f>$C$8</f>
        <v>2.1875</v>
      </c>
      <c r="H10" s="82">
        <f t="shared" si="0"/>
        <v>1.7765392442104062</v>
      </c>
      <c r="I10" s="21">
        <f t="shared" si="1"/>
        <v>2.0519889125706035E-2</v>
      </c>
      <c r="J10" s="21">
        <f t="shared" si="2"/>
        <v>8.2079556502824141E-2</v>
      </c>
      <c r="K10" s="21">
        <f t="shared" si="3"/>
        <v>31.977706395787312</v>
      </c>
      <c r="N10" s="8">
        <v>4.4999999999999998E-2</v>
      </c>
      <c r="O10" s="13">
        <v>52.61170421237189</v>
      </c>
      <c r="P10" s="13">
        <f>$H$63*(1-$C$12*(N10-$C$5))</f>
        <v>97.613140004769178</v>
      </c>
      <c r="Q10" s="13">
        <f>(1+((-$C$12*(N10-$C$5))+(0.5*$C$13*(N10-$C$5)^2)))*$H$63</f>
        <v>98.70535470141651</v>
      </c>
      <c r="T10" s="3"/>
      <c r="U10" s="2"/>
    </row>
    <row r="11" spans="2:22" x14ac:dyDescent="0.25">
      <c r="B11" s="17" t="s">
        <v>12</v>
      </c>
      <c r="C11" s="23">
        <f>J63</f>
        <v>15.98648208441092</v>
      </c>
      <c r="F11" s="79">
        <v>4.5</v>
      </c>
      <c r="G11" s="82">
        <f>$C$8</f>
        <v>2.1875</v>
      </c>
      <c r="H11" s="82">
        <f t="shared" si="0"/>
        <v>1.7309245936625801</v>
      </c>
      <c r="I11" s="21">
        <f t="shared" si="1"/>
        <v>1.9993017808452793E-2</v>
      </c>
      <c r="J11" s="21">
        <f t="shared" si="2"/>
        <v>8.9968580138037574E-2</v>
      </c>
      <c r="K11" s="21">
        <f t="shared" si="3"/>
        <v>38.945803357408053</v>
      </c>
      <c r="N11" s="8">
        <v>0.05</v>
      </c>
      <c r="O11" s="13">
        <v>47.070038964841167</v>
      </c>
      <c r="P11" s="13">
        <f>$H$63*(1-$C$12*(N11-$C$5))</f>
        <v>91.043684259381195</v>
      </c>
      <c r="Q11" s="13">
        <f>(1+((-$C$12*(N11-$C$5))+(0.5*$C$13*(N11-$C$5)^2)))*$H$63</f>
        <v>91.222624195509923</v>
      </c>
      <c r="T11" s="3"/>
    </row>
    <row r="12" spans="2:22" x14ac:dyDescent="0.25">
      <c r="B12" s="26" t="s">
        <v>13</v>
      </c>
      <c r="C12" s="21">
        <f>C11/(1+C5)</f>
        <v>15.176079442197571</v>
      </c>
      <c r="F12" s="79">
        <v>5</v>
      </c>
      <c r="G12" s="82">
        <f>$C$8</f>
        <v>2.1875</v>
      </c>
      <c r="H12" s="82">
        <f t="shared" si="0"/>
        <v>1.6864811507598314</v>
      </c>
      <c r="I12" s="21">
        <f t="shared" si="1"/>
        <v>1.9479674507030604E-2</v>
      </c>
      <c r="J12" s="21">
        <f t="shared" si="2"/>
        <v>9.7398372535153016E-2</v>
      </c>
      <c r="K12" s="21">
        <f t="shared" si="3"/>
        <v>46.378231645895369</v>
      </c>
      <c r="N12" s="8">
        <v>5.5E-2</v>
      </c>
      <c r="O12" s="13">
        <v>42.471401979703508</v>
      </c>
      <c r="P12" s="13">
        <f>$H$63*(1-$C$12*(N12-$C$5))</f>
        <v>84.474228513993225</v>
      </c>
      <c r="Q12" s="13">
        <f>(1+((-$C$12*(N12-$C$5))+(0.5*$C$13*(N12-$C$5)^2)))*$H$63</f>
        <v>84.513855351059789</v>
      </c>
      <c r="T12" s="3"/>
    </row>
    <row r="13" spans="2:22" x14ac:dyDescent="0.25">
      <c r="B13" s="27" t="s">
        <v>14</v>
      </c>
      <c r="C13" s="24">
        <f>K63/(H63*(1+C5/2)^2)</f>
        <v>357.58528909260536</v>
      </c>
      <c r="F13" s="79">
        <v>5.5</v>
      </c>
      <c r="G13" s="82">
        <f>$C$8</f>
        <v>2.1875</v>
      </c>
      <c r="H13" s="82">
        <f t="shared" si="0"/>
        <v>1.6431788434237522</v>
      </c>
      <c r="I13" s="21">
        <f t="shared" si="1"/>
        <v>1.8979511874361872E-2</v>
      </c>
      <c r="J13" s="21">
        <f t="shared" si="2"/>
        <v>0.1043873153089903</v>
      </c>
      <c r="K13" s="21">
        <f t="shared" si="3"/>
        <v>54.224901832983818</v>
      </c>
      <c r="N13" s="8">
        <v>0.06</v>
      </c>
      <c r="O13" s="13">
        <v>38.622638103379167</v>
      </c>
      <c r="P13" s="13">
        <f>$H$63*(1-$C$12*(N13-$C$5))</f>
        <v>77.904772768605255</v>
      </c>
      <c r="Q13" s="13">
        <f>(1+((-$C$12*(N13-$C$5))+(0.5*$C$13*(N13-$C$5)^2)))*$H$63</f>
        <v>78.579048168066109</v>
      </c>
      <c r="T13" s="3"/>
    </row>
    <row r="14" spans="2:22" x14ac:dyDescent="0.25">
      <c r="F14" s="79">
        <v>6</v>
      </c>
      <c r="G14" s="82">
        <f>$C$8</f>
        <v>2.1875</v>
      </c>
      <c r="H14" s="82">
        <f t="shared" si="0"/>
        <v>1.6009883717104911</v>
      </c>
      <c r="I14" s="21">
        <f t="shared" si="1"/>
        <v>1.8492191481897288E-2</v>
      </c>
      <c r="J14" s="21">
        <f t="shared" si="2"/>
        <v>0.11095314889138372</v>
      </c>
      <c r="K14" s="21">
        <f t="shared" si="3"/>
        <v>62.438546496709158</v>
      </c>
      <c r="N14" s="8">
        <v>6.5000000000000002E-2</v>
      </c>
      <c r="O14" s="13">
        <v>35.373885971030973</v>
      </c>
      <c r="P14" s="13">
        <f>$H$63*(1-$C$12*(N14-$C$5))</f>
        <v>71.335317023217272</v>
      </c>
      <c r="Q14" s="13">
        <f>(1+((-$C$12*(N14-$C$5))+(0.5*$C$13*(N14-$C$5)^2)))*$H$63</f>
        <v>73.41820264652884</v>
      </c>
      <c r="T14" s="3"/>
    </row>
    <row r="15" spans="2:22" x14ac:dyDescent="0.25">
      <c r="F15" s="79">
        <v>6.5</v>
      </c>
      <c r="G15" s="82">
        <f>$C$8</f>
        <v>2.1875</v>
      </c>
      <c r="H15" s="82">
        <f t="shared" si="0"/>
        <v>1.5598811879853354</v>
      </c>
      <c r="I15" s="21">
        <f t="shared" si="1"/>
        <v>1.8017383590622625E-2</v>
      </c>
      <c r="J15" s="21">
        <f t="shared" si="2"/>
        <v>0.11711299333904707</v>
      </c>
      <c r="K15" s="21">
        <f t="shared" si="3"/>
        <v>70.974594053332765</v>
      </c>
      <c r="N15" s="8">
        <v>7.0000000000000007E-2</v>
      </c>
      <c r="O15" s="13">
        <v>32.608355972918957</v>
      </c>
      <c r="P15" s="13">
        <f>$H$63*(1-$C$12*(N15-$C$5))</f>
        <v>64.765861277829288</v>
      </c>
      <c r="Q15" s="13">
        <f>(1+((-$C$12*(N15-$C$5))+(0.5*$C$13*(N15-$C$5)^2)))*$H$63</f>
        <v>69.031318786448026</v>
      </c>
      <c r="T15" s="3"/>
    </row>
    <row r="16" spans="2:22" x14ac:dyDescent="0.25">
      <c r="F16" s="79">
        <v>7</v>
      </c>
      <c r="G16" s="82">
        <f>$C$8</f>
        <v>2.1875</v>
      </c>
      <c r="H16" s="82">
        <f t="shared" si="0"/>
        <v>1.5198294776063141</v>
      </c>
      <c r="I16" s="21">
        <f t="shared" si="1"/>
        <v>1.7554766927945026E-2</v>
      </c>
      <c r="J16" s="21">
        <f t="shared" si="2"/>
        <v>0.12288336849561518</v>
      </c>
      <c r="K16" s="21">
        <f t="shared" si="3"/>
        <v>79.791047574331486</v>
      </c>
      <c r="N16" s="8">
        <v>7.4999999999999997E-2</v>
      </c>
      <c r="O16" s="13">
        <v>30.234606419858792</v>
      </c>
      <c r="P16" s="13">
        <f>$H$63*(1-$C$12*(N16-$C$5))</f>
        <v>58.196405532441318</v>
      </c>
      <c r="Q16" s="13">
        <f>(1+((-$C$12*(N16-$C$5))+(0.5*$C$13*(N16-$C$5)^2)))*$H$63</f>
        <v>65.418396587823665</v>
      </c>
      <c r="T16" s="3"/>
    </row>
    <row r="17" spans="6:20" x14ac:dyDescent="0.25">
      <c r="F17" s="79">
        <v>7.5</v>
      </c>
      <c r="G17" s="82">
        <f>$C$8</f>
        <v>2.1875</v>
      </c>
      <c r="H17" s="82">
        <f t="shared" si="0"/>
        <v>1.4808061401037929</v>
      </c>
      <c r="I17" s="21">
        <f t="shared" si="1"/>
        <v>1.7104028470308171E-2</v>
      </c>
      <c r="J17" s="21">
        <f t="shared" si="2"/>
        <v>0.12828021352731128</v>
      </c>
      <c r="K17" s="21">
        <f t="shared" si="3"/>
        <v>88.848368406227564</v>
      </c>
      <c r="N17" s="32">
        <v>0.08</v>
      </c>
      <c r="O17" s="20">
        <v>28.180691611091145</v>
      </c>
      <c r="P17" s="20">
        <f>$H$63*(1-$C$12*(N17-$C$5))</f>
        <v>51.626949787053341</v>
      </c>
      <c r="Q17" s="13">
        <f>(1+((-$C$12*(N17-$C$5))+(0.5*$C$13*(N17-$C$5)^2)))*$H$63</f>
        <v>62.579436050655744</v>
      </c>
      <c r="T17" s="3"/>
    </row>
    <row r="18" spans="6:20" x14ac:dyDescent="0.25">
      <c r="F18" s="79">
        <v>8</v>
      </c>
      <c r="G18" s="82">
        <f>$C$8</f>
        <v>2.1875</v>
      </c>
      <c r="H18" s="82">
        <f t="shared" si="0"/>
        <v>1.4427847708432828</v>
      </c>
      <c r="I18" s="21">
        <f t="shared" si="1"/>
        <v>1.6664863231388861E-2</v>
      </c>
      <c r="J18" s="21">
        <f t="shared" si="2"/>
        <v>0.13331890585111089</v>
      </c>
      <c r="K18" s="21">
        <f t="shared" si="3"/>
        <v>98.10936441734323</v>
      </c>
      <c r="N18" s="3"/>
      <c r="O18" s="30"/>
      <c r="P18" s="29"/>
      <c r="Q18" s="29"/>
      <c r="T18" s="3"/>
    </row>
    <row r="19" spans="6:20" x14ac:dyDescent="0.25">
      <c r="F19" s="79">
        <v>8.5</v>
      </c>
      <c r="G19" s="82">
        <f>$C$8</f>
        <v>2.1875</v>
      </c>
      <c r="H19" s="82">
        <f t="shared" si="0"/>
        <v>1.4057396431590972</v>
      </c>
      <c r="I19" s="21">
        <f t="shared" si="1"/>
        <v>1.623697405573208E-2</v>
      </c>
      <c r="J19" s="21">
        <f t="shared" si="2"/>
        <v>0.13801427947372269</v>
      </c>
      <c r="K19" s="21">
        <f t="shared" si="3"/>
        <v>107.53908270167094</v>
      </c>
      <c r="N19" s="3"/>
      <c r="O19" s="30"/>
      <c r="P19" s="29"/>
      <c r="Q19" s="29"/>
      <c r="T19" s="3"/>
    </row>
    <row r="20" spans="6:20" x14ac:dyDescent="0.25">
      <c r="F20" s="79">
        <v>9</v>
      </c>
      <c r="G20" s="82">
        <f>$C$8</f>
        <v>2.1875</v>
      </c>
      <c r="H20" s="82">
        <f t="shared" si="0"/>
        <v>1.3696456909467278</v>
      </c>
      <c r="I20" s="21">
        <f t="shared" si="1"/>
        <v>1.582007141768451E-2</v>
      </c>
      <c r="J20" s="21">
        <f t="shared" si="2"/>
        <v>0.1423806427591606</v>
      </c>
      <c r="K20" s="21">
        <f t="shared" si="3"/>
        <v>117.10470657594523</v>
      </c>
      <c r="N20" s="3"/>
      <c r="O20" s="30"/>
      <c r="P20" s="29"/>
      <c r="Q20" s="29"/>
      <c r="T20" s="3"/>
    </row>
    <row r="21" spans="6:20" x14ac:dyDescent="0.25">
      <c r="F21" s="79">
        <v>9.5</v>
      </c>
      <c r="G21" s="82">
        <f>$C$8</f>
        <v>2.1875</v>
      </c>
      <c r="H21" s="82">
        <f t="shared" si="0"/>
        <v>1.3344784917021999</v>
      </c>
      <c r="I21" s="21">
        <f t="shared" si="1"/>
        <v>1.5413873225490869E-2</v>
      </c>
      <c r="J21" s="21">
        <f t="shared" si="2"/>
        <v>0.14643179564216324</v>
      </c>
      <c r="K21" s="21">
        <f t="shared" si="3"/>
        <v>126.77545671170898</v>
      </c>
      <c r="N21" s="3"/>
      <c r="O21" s="30"/>
      <c r="P21" s="29"/>
      <c r="Q21" s="29"/>
      <c r="T21" s="3"/>
    </row>
    <row r="22" spans="6:20" x14ac:dyDescent="0.25">
      <c r="F22" s="79">
        <v>10</v>
      </c>
      <c r="G22" s="82">
        <f>$C$8</f>
        <v>2.1875</v>
      </c>
      <c r="H22" s="82">
        <f t="shared" si="0"/>
        <v>1.3002142499968936</v>
      </c>
      <c r="I22" s="21">
        <f t="shared" si="1"/>
        <v>1.5018104630420076E-2</v>
      </c>
      <c r="J22" s="21">
        <f t="shared" si="2"/>
        <v>0.15018104630420076</v>
      </c>
      <c r="K22" s="21">
        <f t="shared" si="3"/>
        <v>136.52249624967382</v>
      </c>
    </row>
    <row r="23" spans="6:20" x14ac:dyDescent="0.25">
      <c r="F23" s="79">
        <v>10.5</v>
      </c>
      <c r="G23" s="82">
        <f>$C$8</f>
        <v>2.1875</v>
      </c>
      <c r="H23" s="82">
        <f t="shared" si="0"/>
        <v>1.2668297813766851</v>
      </c>
      <c r="I23" s="21">
        <f t="shared" si="1"/>
        <v>1.4632497840792548E-2</v>
      </c>
      <c r="J23" s="21">
        <f t="shared" si="2"/>
        <v>0.15364122732832175</v>
      </c>
      <c r="K23" s="21">
        <f t="shared" si="3"/>
        <v>146.31883974900711</v>
      </c>
    </row>
    <row r="24" spans="6:20" x14ac:dyDescent="0.25">
      <c r="F24" s="79">
        <v>11</v>
      </c>
      <c r="G24" s="82">
        <f>$C$8</f>
        <v>2.1875</v>
      </c>
      <c r="H24" s="82">
        <f t="shared" si="0"/>
        <v>1.2343024966744767</v>
      </c>
      <c r="I24" s="21">
        <f t="shared" si="1"/>
        <v>1.4256791940782304E-2</v>
      </c>
      <c r="J24" s="21">
        <f t="shared" si="2"/>
        <v>0.15682471134860534</v>
      </c>
      <c r="K24" s="21">
        <f t="shared" si="3"/>
        <v>156.13926582932129</v>
      </c>
    </row>
    <row r="25" spans="6:20" x14ac:dyDescent="0.25">
      <c r="F25" s="79">
        <v>11.5</v>
      </c>
      <c r="G25" s="82">
        <f>$C$8</f>
        <v>2.1875</v>
      </c>
      <c r="H25" s="82">
        <f t="shared" si="0"/>
        <v>1.2026103867255413</v>
      </c>
      <c r="I25" s="21">
        <f t="shared" si="1"/>
        <v>1.3890732713871796E-2</v>
      </c>
      <c r="J25" s="21">
        <f t="shared" si="2"/>
        <v>0.15974342620952567</v>
      </c>
      <c r="K25" s="21">
        <f t="shared" si="3"/>
        <v>165.9602333681247</v>
      </c>
    </row>
    <row r="26" spans="6:20" x14ac:dyDescent="0.25">
      <c r="F26" s="79">
        <v>12</v>
      </c>
      <c r="G26" s="82">
        <f>$C$8</f>
        <v>2.1875</v>
      </c>
      <c r="H26" s="82">
        <f t="shared" si="0"/>
        <v>1.1717320074752959</v>
      </c>
      <c r="I26" s="21">
        <f t="shared" si="1"/>
        <v>1.3534072470839476E-2</v>
      </c>
      <c r="J26" s="21">
        <f t="shared" si="2"/>
        <v>0.16240886965007373</v>
      </c>
      <c r="K26" s="21">
        <f t="shared" si="3"/>
        <v>175.7598011212944</v>
      </c>
    </row>
    <row r="27" spans="6:20" x14ac:dyDescent="0.25">
      <c r="F27" s="79">
        <v>12.5</v>
      </c>
      <c r="G27" s="82">
        <f>$C$8</f>
        <v>2.1875</v>
      </c>
      <c r="H27" s="82">
        <f t="shared" si="0"/>
        <v>1.1416464654694716</v>
      </c>
      <c r="I27" s="21">
        <f t="shared" si="1"/>
        <v>1.3186569882164227E-2</v>
      </c>
      <c r="J27" s="21">
        <f t="shared" si="2"/>
        <v>0.16483212352705284</v>
      </c>
      <c r="K27" s="21">
        <f t="shared" si="3"/>
        <v>185.51755063878912</v>
      </c>
    </row>
    <row r="28" spans="6:20" x14ac:dyDescent="0.25">
      <c r="F28" s="79">
        <v>13</v>
      </c>
      <c r="G28" s="82">
        <f>$C$8</f>
        <v>2.1875</v>
      </c>
      <c r="H28" s="82">
        <f t="shared" si="0"/>
        <v>1.112333403716818</v>
      </c>
      <c r="I28" s="21">
        <f t="shared" si="1"/>
        <v>1.2847989814732749E-2</v>
      </c>
      <c r="J28" s="21">
        <f t="shared" si="2"/>
        <v>0.16702386759152574</v>
      </c>
      <c r="K28" s="21">
        <f t="shared" si="3"/>
        <v>195.21451235230157</v>
      </c>
    </row>
    <row r="29" spans="6:20" x14ac:dyDescent="0.25">
      <c r="F29" s="79">
        <v>13.5</v>
      </c>
      <c r="G29" s="82">
        <f>$C$8</f>
        <v>2.1875</v>
      </c>
      <c r="H29" s="82">
        <f t="shared" si="0"/>
        <v>1.0837729879148204</v>
      </c>
      <c r="I29" s="21">
        <f t="shared" si="1"/>
        <v>1.2518103172739917E-2</v>
      </c>
      <c r="J29" s="21">
        <f t="shared" si="2"/>
        <v>0.16899439283198889</v>
      </c>
      <c r="K29" s="21">
        <f t="shared" si="3"/>
        <v>204.83309471590104</v>
      </c>
    </row>
    <row r="30" spans="6:20" x14ac:dyDescent="0.25">
      <c r="F30" s="79">
        <v>14</v>
      </c>
      <c r="G30" s="82">
        <f>$C$8</f>
        <v>2.1875</v>
      </c>
      <c r="H30" s="82">
        <f t="shared" si="0"/>
        <v>1.0559458930290659</v>
      </c>
      <c r="I30" s="21">
        <f t="shared" si="1"/>
        <v>1.2196686742673961E-2</v>
      </c>
      <c r="J30" s="21">
        <f t="shared" si="2"/>
        <v>0.17075361439743544</v>
      </c>
      <c r="K30" s="21">
        <f t="shared" si="3"/>
        <v>214.35701628490037</v>
      </c>
    </row>
    <row r="31" spans="6:20" x14ac:dyDescent="0.25">
      <c r="F31" s="79">
        <v>14.5</v>
      </c>
      <c r="G31" s="82">
        <f>$C$8</f>
        <v>2.1875</v>
      </c>
      <c r="H31" s="82">
        <f t="shared" si="0"/>
        <v>1.0288332902172208</v>
      </c>
      <c r="I31" s="21">
        <f t="shared" si="1"/>
        <v>1.1883523042282056E-2</v>
      </c>
      <c r="J31" s="21">
        <f t="shared" si="2"/>
        <v>0.17231108411308982</v>
      </c>
      <c r="K31" s="21">
        <f t="shared" si="3"/>
        <v>223.77124062224553</v>
      </c>
    </row>
    <row r="32" spans="6:20" x14ac:dyDescent="0.25">
      <c r="F32" s="79">
        <v>15</v>
      </c>
      <c r="G32" s="82">
        <f>$C$8</f>
        <v>2.1875</v>
      </c>
      <c r="H32" s="82">
        <f t="shared" si="0"/>
        <v>1.0024168340887281</v>
      </c>
      <c r="I32" s="21">
        <f t="shared" si="1"/>
        <v>1.1578400173413673E-2</v>
      </c>
      <c r="J32" s="21">
        <f t="shared" si="2"/>
        <v>0.17367600260120511</v>
      </c>
      <c r="K32" s="21">
        <f t="shared" si="3"/>
        <v>233.06191392562928</v>
      </c>
    </row>
    <row r="33" spans="6:11" x14ac:dyDescent="0.25">
      <c r="F33" s="79">
        <v>15.5</v>
      </c>
      <c r="G33" s="82">
        <f>$C$8</f>
        <v>2.1875</v>
      </c>
      <c r="H33" s="82">
        <f t="shared" si="0"/>
        <v>0.97667865029164713</v>
      </c>
      <c r="I33" s="21">
        <f t="shared" si="1"/>
        <v>1.1281111678642547E-2</v>
      </c>
      <c r="J33" s="21">
        <f t="shared" si="2"/>
        <v>0.17485723101895947</v>
      </c>
      <c r="K33" s="21">
        <f t="shared" si="3"/>
        <v>242.2163052723285</v>
      </c>
    </row>
    <row r="34" spans="6:11" x14ac:dyDescent="0.25">
      <c r="F34" s="79">
        <v>16</v>
      </c>
      <c r="G34" s="82">
        <f>$C$8</f>
        <v>2.1875</v>
      </c>
      <c r="H34" s="82">
        <f t="shared" si="0"/>
        <v>0.95160132341819625</v>
      </c>
      <c r="I34" s="21">
        <f t="shared" si="1"/>
        <v>1.0991456401569842E-2</v>
      </c>
      <c r="J34" s="21">
        <f t="shared" si="2"/>
        <v>0.17586330242511747</v>
      </c>
      <c r="K34" s="21">
        <f t="shared" si="3"/>
        <v>251.2227493824038</v>
      </c>
    </row>
    <row r="35" spans="6:11" x14ac:dyDescent="0.25">
      <c r="F35" s="79">
        <v>16.5</v>
      </c>
      <c r="G35" s="82">
        <f>$C$8</f>
        <v>2.1875</v>
      </c>
      <c r="H35" s="82">
        <f t="shared" si="0"/>
        <v>0.92716788522085336</v>
      </c>
      <c r="I35" s="21">
        <f t="shared" si="1"/>
        <v>1.0709238350714396E-2</v>
      </c>
      <c r="J35" s="21">
        <f t="shared" si="2"/>
        <v>0.17670243278678754</v>
      </c>
      <c r="K35" s="21">
        <f t="shared" si="3"/>
        <v>260.07059180444935</v>
      </c>
    </row>
    <row r="36" spans="6:11" x14ac:dyDescent="0.25">
      <c r="F36" s="79">
        <v>17</v>
      </c>
      <c r="G36" s="82">
        <f>$C$8</f>
        <v>2.1875</v>
      </c>
      <c r="H36" s="82">
        <f t="shared" si="0"/>
        <v>0.9033618031310009</v>
      </c>
      <c r="I36" s="21">
        <f t="shared" si="1"/>
        <v>1.0434266566897514E-2</v>
      </c>
      <c r="J36" s="21">
        <f t="shared" si="2"/>
        <v>0.17738253163725776</v>
      </c>
      <c r="K36" s="21">
        <f t="shared" si="3"/>
        <v>268.75013643147275</v>
      </c>
    </row>
    <row r="37" spans="6:11" x14ac:dyDescent="0.25">
      <c r="F37" s="79">
        <v>17.5</v>
      </c>
      <c r="G37" s="82">
        <f>$C$8</f>
        <v>2.1875</v>
      </c>
      <c r="H37" s="82">
        <f t="shared" si="0"/>
        <v>0.88016696907238812</v>
      </c>
      <c r="I37" s="21">
        <f t="shared" si="1"/>
        <v>1.0166354994033035E-2</v>
      </c>
      <c r="J37" s="21">
        <f t="shared" si="2"/>
        <v>0.17791121239557811</v>
      </c>
      <c r="K37" s="21">
        <f t="shared" si="3"/>
        <v>277.25259525780223</v>
      </c>
    </row>
    <row r="38" spans="6:11" x14ac:dyDescent="0.25">
      <c r="F38" s="79">
        <v>18</v>
      </c>
      <c r="G38" s="82">
        <f>$C$8</f>
        <v>2.1875</v>
      </c>
      <c r="H38" s="82">
        <f t="shared" si="0"/>
        <v>0.85756768856180088</v>
      </c>
      <c r="I38" s="21">
        <f t="shared" si="1"/>
        <v>9.9053223532347794E-3</v>
      </c>
      <c r="J38" s="21">
        <f t="shared" si="2"/>
        <v>0.17829580235822604</v>
      </c>
      <c r="K38" s="21">
        <f t="shared" si="3"/>
        <v>285.57004029107969</v>
      </c>
    </row>
    <row r="39" spans="6:11" x14ac:dyDescent="0.25">
      <c r="F39" s="79">
        <v>18.5</v>
      </c>
      <c r="G39" s="82">
        <f>$C$8</f>
        <v>2.1875</v>
      </c>
      <c r="H39" s="82">
        <f t="shared" si="0"/>
        <v>0.83554867008960332</v>
      </c>
      <c r="I39" s="21">
        <f t="shared" si="1"/>
        <v>9.6509920201566686E-3</v>
      </c>
      <c r="J39" s="21">
        <f t="shared" si="2"/>
        <v>0.17854335237289837</v>
      </c>
      <c r="K39" s="21">
        <f t="shared" si="3"/>
        <v>293.69535753649558</v>
      </c>
    </row>
    <row r="40" spans="6:11" x14ac:dyDescent="0.25">
      <c r="F40" s="79">
        <v>19</v>
      </c>
      <c r="G40" s="82">
        <f>$C$8</f>
        <v>2.1875</v>
      </c>
      <c r="H40" s="82">
        <f t="shared" si="0"/>
        <v>0.81409501477292667</v>
      </c>
      <c r="I40" s="21">
        <f t="shared" si="1"/>
        <v>9.40319190548204E-3</v>
      </c>
      <c r="J40" s="21">
        <f t="shared" si="2"/>
        <v>0.17866064620415875</v>
      </c>
      <c r="K40" s="21">
        <f t="shared" si="3"/>
        <v>301.62220297336933</v>
      </c>
    </row>
    <row r="41" spans="6:11" x14ac:dyDescent="0.25">
      <c r="F41" s="79">
        <v>19.5</v>
      </c>
      <c r="G41" s="82">
        <f>$C$8</f>
        <v>2.1875</v>
      </c>
      <c r="H41" s="82">
        <f t="shared" si="0"/>
        <v>0.79319220627454279</v>
      </c>
      <c r="I41" s="21">
        <f t="shared" si="1"/>
        <v>9.1617543384817455E-3</v>
      </c>
      <c r="J41" s="21">
        <f t="shared" si="2"/>
        <v>0.17865420960039405</v>
      </c>
      <c r="K41" s="21">
        <f t="shared" si="3"/>
        <v>309.34496044707168</v>
      </c>
    </row>
    <row r="42" spans="6:11" x14ac:dyDescent="0.25">
      <c r="F42" s="79">
        <v>20</v>
      </c>
      <c r="G42" s="82">
        <f>$C$8</f>
        <v>2.1875</v>
      </c>
      <c r="H42" s="82">
        <f t="shared" si="0"/>
        <v>0.77282610098056448</v>
      </c>
      <c r="I42" s="21">
        <f t="shared" si="1"/>
        <v>8.9265159535618366E-3</v>
      </c>
      <c r="J42" s="21">
        <f t="shared" si="2"/>
        <v>0.17853031907123673</v>
      </c>
      <c r="K42" s="21">
        <f t="shared" si="3"/>
        <v>316.85870140203144</v>
      </c>
    </row>
    <row r="43" spans="6:11" x14ac:dyDescent="0.25">
      <c r="F43" s="79">
        <v>20.5</v>
      </c>
      <c r="G43" s="82">
        <f>$C$8</f>
        <v>2.1875</v>
      </c>
      <c r="H43" s="82">
        <f t="shared" si="0"/>
        <v>0.75298291843036158</v>
      </c>
      <c r="I43" s="21">
        <f t="shared" si="1"/>
        <v>8.6973175797244607E-3</v>
      </c>
      <c r="J43" s="21">
        <f t="shared" si="2"/>
        <v>0.17829501038435144</v>
      </c>
      <c r="K43" s="21">
        <f t="shared" si="3"/>
        <v>324.15914638427063</v>
      </c>
    </row>
    <row r="44" spans="6:11" x14ac:dyDescent="0.25">
      <c r="F44" s="79">
        <v>21</v>
      </c>
      <c r="G44" s="82">
        <f>$C$8</f>
        <v>2.1875</v>
      </c>
      <c r="H44" s="82">
        <f t="shared" si="0"/>
        <v>0.73364923199218213</v>
      </c>
      <c r="I44" s="21">
        <f t="shared" si="1"/>
        <v>8.4740041328667543E-3</v>
      </c>
      <c r="J44" s="21">
        <f t="shared" si="2"/>
        <v>0.17795408679020183</v>
      </c>
      <c r="K44" s="21">
        <f t="shared" si="3"/>
        <v>331.24262824447021</v>
      </c>
    </row>
    <row r="45" spans="6:11" x14ac:dyDescent="0.25">
      <c r="F45" s="79">
        <v>21.5</v>
      </c>
      <c r="G45" s="82">
        <f>$C$8</f>
        <v>2.1875</v>
      </c>
      <c r="H45" s="82">
        <f t="shared" si="0"/>
        <v>0.71481195977820544</v>
      </c>
      <c r="I45" s="21">
        <f t="shared" si="1"/>
        <v>8.256424510845321E-3</v>
      </c>
      <c r="J45" s="21">
        <f t="shared" si="2"/>
        <v>0.1775131269831744</v>
      </c>
      <c r="K45" s="21">
        <f t="shared" si="3"/>
        <v>338.10605697509118</v>
      </c>
    </row>
    <row r="46" spans="6:11" x14ac:dyDescent="0.25">
      <c r="F46" s="79">
        <v>22</v>
      </c>
      <c r="G46" s="82">
        <f>$C$8</f>
        <v>2.1875</v>
      </c>
      <c r="H46" s="82">
        <f t="shared" si="0"/>
        <v>0.69645835579284421</v>
      </c>
      <c r="I46" s="21">
        <f t="shared" si="1"/>
        <v>8.0444314912348144E-3</v>
      </c>
      <c r="J46" s="21">
        <f t="shared" si="2"/>
        <v>0.1769774928071659</v>
      </c>
      <c r="K46" s="21">
        <f t="shared" si="3"/>
        <v>344.7468861174579</v>
      </c>
    </row>
    <row r="47" spans="6:11" x14ac:dyDescent="0.25">
      <c r="F47" s="79">
        <v>22.5</v>
      </c>
      <c r="G47" s="82">
        <f>$C$8</f>
        <v>2.1875</v>
      </c>
      <c r="H47" s="82">
        <f t="shared" si="0"/>
        <v>0.67857600130834028</v>
      </c>
      <c r="I47" s="21">
        <f t="shared" si="1"/>
        <v>7.8378816317119064E-3</v>
      </c>
      <c r="J47" s="21">
        <f t="shared" si="2"/>
        <v>0.17635233671351788</v>
      </c>
      <c r="K47" s="21">
        <f t="shared" si="3"/>
        <v>351.16308067706609</v>
      </c>
    </row>
    <row r="48" spans="6:11" x14ac:dyDescent="0.25">
      <c r="F48" s="79">
        <v>23</v>
      </c>
      <c r="G48" s="82">
        <f>$C$8</f>
        <v>2.1875</v>
      </c>
      <c r="H48" s="82">
        <f t="shared" si="0"/>
        <v>0.66115279646178493</v>
      </c>
      <c r="I48" s="21">
        <f t="shared" si="1"/>
        <v>7.6366351729967872E-3</v>
      </c>
      <c r="J48" s="21">
        <f t="shared" si="2"/>
        <v>0.17564260897892611</v>
      </c>
      <c r="K48" s="21">
        <f t="shared" si="3"/>
        <v>357.35308648759474</v>
      </c>
    </row>
    <row r="49" spans="6:11" x14ac:dyDescent="0.25">
      <c r="F49" s="79">
        <v>23.5</v>
      </c>
      <c r="G49" s="82">
        <f>$C$8</f>
        <v>2.1875</v>
      </c>
      <c r="H49" s="82">
        <f t="shared" si="0"/>
        <v>0.6441769520679137</v>
      </c>
      <c r="I49" s="21">
        <f t="shared" si="1"/>
        <v>7.4405559442869817E-3</v>
      </c>
      <c r="J49" s="21">
        <f t="shared" si="2"/>
        <v>0.17485306469074408</v>
      </c>
      <c r="K49" s="21">
        <f t="shared" si="3"/>
        <v>363.31580096630336</v>
      </c>
    </row>
    <row r="50" spans="6:11" x14ac:dyDescent="0.25">
      <c r="F50" s="79">
        <v>24</v>
      </c>
      <c r="G50" s="82">
        <f>$C$8</f>
        <v>2.1875</v>
      </c>
      <c r="H50" s="82">
        <f t="shared" si="0"/>
        <v>0.62763698164209702</v>
      </c>
      <c r="I50" s="21">
        <f t="shared" si="1"/>
        <v>7.249511271119031E-3</v>
      </c>
      <c r="J50" s="21">
        <f t="shared" si="2"/>
        <v>0.17398827050685675</v>
      </c>
      <c r="K50" s="21">
        <f t="shared" si="3"/>
        <v>369.05054520555308</v>
      </c>
    </row>
    <row r="51" spans="6:11" x14ac:dyDescent="0.25">
      <c r="F51" s="79">
        <v>24.5</v>
      </c>
      <c r="G51" s="82">
        <f>$C$8</f>
        <v>2.1875</v>
      </c>
      <c r="H51" s="82">
        <f t="shared" si="0"/>
        <v>0.61152169362816944</v>
      </c>
      <c r="I51" s="21">
        <f t="shared" si="1"/>
        <v>7.0633718855961473E-3</v>
      </c>
      <c r="J51" s="21">
        <f t="shared" si="2"/>
        <v>0.1730526111971056</v>
      </c>
      <c r="K51" s="21">
        <f t="shared" si="3"/>
        <v>374.55703734725375</v>
      </c>
    </row>
    <row r="52" spans="6:11" x14ac:dyDescent="0.25">
      <c r="F52" s="79">
        <v>25</v>
      </c>
      <c r="G52" s="82">
        <f>$C$8</f>
        <v>2.1875</v>
      </c>
      <c r="H52" s="82">
        <f t="shared" si="0"/>
        <v>0.59582018382579938</v>
      </c>
      <c r="I52" s="21">
        <f t="shared" si="1"/>
        <v>6.8820118389206686E-3</v>
      </c>
      <c r="J52" s="21">
        <f t="shared" si="2"/>
        <v>0.17205029597301671</v>
      </c>
      <c r="K52" s="21">
        <f t="shared" si="3"/>
        <v>379.83536718894709</v>
      </c>
    </row>
    <row r="53" spans="6:11" x14ac:dyDescent="0.25">
      <c r="F53" s="79">
        <v>25.5</v>
      </c>
      <c r="G53" s="82">
        <f>$C$8</f>
        <v>2.1875</v>
      </c>
      <c r="H53" s="82">
        <f t="shared" si="0"/>
        <v>0.580521828012312</v>
      </c>
      <c r="I53" s="21">
        <f t="shared" si="1"/>
        <v>6.7053084161725349E-3</v>
      </c>
      <c r="J53" s="21">
        <f t="shared" si="2"/>
        <v>0.17098536461239963</v>
      </c>
      <c r="K53" s="21">
        <f t="shared" si="3"/>
        <v>384.88597197216285</v>
      </c>
    </row>
    <row r="54" spans="6:11" x14ac:dyDescent="0.25">
      <c r="F54" s="79">
        <v>26</v>
      </c>
      <c r="G54" s="82">
        <f>$C$8</f>
        <v>2.1875</v>
      </c>
      <c r="H54" s="82">
        <f t="shared" si="0"/>
        <v>0.56561627475393894</v>
      </c>
      <c r="I54" s="21">
        <f t="shared" si="1"/>
        <v>6.5331420532757428E-3</v>
      </c>
      <c r="J54" s="21">
        <f t="shared" si="2"/>
        <v>0.16986169338516932</v>
      </c>
      <c r="K54" s="21">
        <f t="shared" si="3"/>
        <v>389.7096133054639</v>
      </c>
    </row>
    <row r="55" spans="6:11" x14ac:dyDescent="0.25">
      <c r="F55" s="79">
        <v>26.5</v>
      </c>
      <c r="G55" s="82">
        <f>$C$8</f>
        <v>2.1875</v>
      </c>
      <c r="H55" s="82">
        <f t="shared" si="0"/>
        <v>0.55109343840166336</v>
      </c>
      <c r="I55" s="21">
        <f t="shared" si="1"/>
        <v>6.3653962560969593E-3</v>
      </c>
      <c r="J55" s="21">
        <f t="shared" si="2"/>
        <v>0.16868300078656942</v>
      </c>
      <c r="K55" s="21">
        <f t="shared" si="3"/>
        <v>394.3073551763901</v>
      </c>
    </row>
    <row r="56" spans="6:11" x14ac:dyDescent="0.25">
      <c r="F56" s="79">
        <v>27</v>
      </c>
      <c r="G56" s="82">
        <f>$C$8</f>
        <v>2.1875</v>
      </c>
      <c r="H56" s="82">
        <f t="shared" si="0"/>
        <v>0.5369434922668872</v>
      </c>
      <c r="I56" s="21">
        <f t="shared" si="1"/>
        <v>6.2019575216211726E-3</v>
      </c>
      <c r="J56" s="21">
        <f t="shared" si="2"/>
        <v>0.16745285308377167</v>
      </c>
      <c r="K56" s="21">
        <f t="shared" si="3"/>
        <v>398.68054300816374</v>
      </c>
    </row>
    <row r="57" spans="6:11" x14ac:dyDescent="0.25">
      <c r="F57" s="79">
        <v>27.5</v>
      </c>
      <c r="G57" s="82">
        <f>$C$8</f>
        <v>2.1875</v>
      </c>
      <c r="H57" s="82">
        <f t="shared" si="0"/>
        <v>0.52315686197234035</v>
      </c>
      <c r="I57" s="21">
        <f t="shared" si="1"/>
        <v>6.04271526115147E-3</v>
      </c>
      <c r="J57" s="21">
        <f t="shared" si="2"/>
        <v>0.16617466968166542</v>
      </c>
      <c r="K57" s="21">
        <f t="shared" si="3"/>
        <v>402.83078371870209</v>
      </c>
    </row>
    <row r="58" spans="6:11" x14ac:dyDescent="0.25">
      <c r="F58" s="79">
        <v>28</v>
      </c>
      <c r="G58" s="82">
        <f>$C$8</f>
        <v>2.1875</v>
      </c>
      <c r="H58" s="82">
        <f t="shared" si="0"/>
        <v>0.50972421897369213</v>
      </c>
      <c r="I58" s="21">
        <f t="shared" si="1"/>
        <v>5.8875617254805137E-3</v>
      </c>
      <c r="J58" s="21">
        <f t="shared" si="2"/>
        <v>0.16485172831345438</v>
      </c>
      <c r="K58" s="21">
        <f t="shared" si="3"/>
        <v>406.75992674100632</v>
      </c>
    </row>
    <row r="59" spans="6:11" x14ac:dyDescent="0.25">
      <c r="F59" s="79">
        <v>28.5</v>
      </c>
      <c r="G59" s="82">
        <f>$C$8</f>
        <v>2.1875</v>
      </c>
      <c r="H59" s="82">
        <f t="shared" si="0"/>
        <v>0.49663647424752272</v>
      </c>
      <c r="I59" s="21">
        <f t="shared" si="1"/>
        <v>5.7363919319835498E-3</v>
      </c>
      <c r="J59" s="21">
        <f t="shared" si="2"/>
        <v>0.16348717006153116</v>
      </c>
      <c r="K59" s="21">
        <f t="shared" si="3"/>
        <v>410.47004596557753</v>
      </c>
    </row>
    <row r="60" spans="6:11" x14ac:dyDescent="0.25">
      <c r="F60" s="79">
        <v>29</v>
      </c>
      <c r="G60" s="82">
        <f>$C$8</f>
        <v>2.1875</v>
      </c>
      <c r="H60" s="82">
        <f t="shared" si="0"/>
        <v>0.48388477214134434</v>
      </c>
      <c r="I60" s="21">
        <f t="shared" si="1"/>
        <v>5.5891035935831728E-3</v>
      </c>
      <c r="J60" s="21">
        <f t="shared" si="2"/>
        <v>0.162084004213912</v>
      </c>
      <c r="K60" s="21">
        <f t="shared" si="3"/>
        <v>413.96342256692009</v>
      </c>
    </row>
    <row r="61" spans="6:11" x14ac:dyDescent="0.25">
      <c r="F61" s="79">
        <v>29.5</v>
      </c>
      <c r="G61" s="82">
        <f>$C$8</f>
        <v>2.1875</v>
      </c>
      <c r="H61" s="82">
        <f t="shared" si="0"/>
        <v>0.47146048438154808</v>
      </c>
      <c r="I61" s="21">
        <f t="shared" si="1"/>
        <v>5.4455970495382094E-3</v>
      </c>
      <c r="J61" s="21">
        <f t="shared" si="2"/>
        <v>0.16064511296137718</v>
      </c>
      <c r="K61" s="21">
        <f t="shared" si="3"/>
        <v>417.24252867767007</v>
      </c>
    </row>
    <row r="62" spans="6:11" x14ac:dyDescent="0.25">
      <c r="F62" s="79">
        <v>30</v>
      </c>
      <c r="G62" s="82">
        <f>$C$8+C4</f>
        <v>102.1875</v>
      </c>
      <c r="H62" s="82">
        <f t="shared" si="0"/>
        <v>21.458450254986523</v>
      </c>
      <c r="I62" s="21">
        <f t="shared" si="1"/>
        <v>0.24785549853558514</v>
      </c>
      <c r="J62" s="21">
        <f t="shared" si="2"/>
        <v>7.4356649560675541</v>
      </c>
      <c r="K62" s="21">
        <f t="shared" si="3"/>
        <v>19634.481983312668</v>
      </c>
    </row>
    <row r="63" spans="6:11" x14ac:dyDescent="0.25">
      <c r="F63" s="10"/>
      <c r="G63" s="16"/>
      <c r="H63" s="83">
        <f>SUM(H3:H62)</f>
        <v>86.576454352517374</v>
      </c>
      <c r="I63" s="10"/>
      <c r="J63" s="22">
        <f>SUM(J3:J62)</f>
        <v>15.98648208441092</v>
      </c>
      <c r="K63" s="22">
        <f>SUM(K3:K62)</f>
        <v>32633.718548282064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C052-A627-4CCC-9E19-009A89E02833}">
  <dimension ref="B2:AF69"/>
  <sheetViews>
    <sheetView showGridLines="0" topLeftCell="Y42" zoomScaleNormal="100" workbookViewId="0">
      <selection activeCell="Z68" sqref="Z68"/>
    </sheetView>
  </sheetViews>
  <sheetFormatPr defaultRowHeight="13.8" x14ac:dyDescent="0.25"/>
  <cols>
    <col min="2" max="2" width="33.6640625" bestFit="1" customWidth="1"/>
    <col min="3" max="3" width="11.44140625" bestFit="1" customWidth="1"/>
    <col min="5" max="5" width="23.44140625" bestFit="1" customWidth="1"/>
    <col min="6" max="6" width="17.77734375" bestFit="1" customWidth="1"/>
    <col min="7" max="7" width="13.44140625" bestFit="1" customWidth="1"/>
    <col min="8" max="8" width="12" bestFit="1" customWidth="1"/>
    <col min="9" max="9" width="18.33203125" bestFit="1" customWidth="1"/>
    <col min="10" max="10" width="17.109375" bestFit="1" customWidth="1"/>
    <col min="11" max="11" width="32.33203125" bestFit="1" customWidth="1"/>
    <col min="12" max="12" width="19.88671875" bestFit="1" customWidth="1"/>
    <col min="15" max="15" width="23.44140625" bestFit="1" customWidth="1"/>
    <col min="16" max="16" width="17.77734375" bestFit="1" customWidth="1"/>
    <col min="17" max="17" width="13.44140625" bestFit="1" customWidth="1"/>
    <col min="18" max="18" width="12" bestFit="1" customWidth="1"/>
    <col min="19" max="19" width="18.33203125" bestFit="1" customWidth="1"/>
    <col min="20" max="20" width="17.109375" bestFit="1" customWidth="1"/>
    <col min="21" max="21" width="32.33203125" bestFit="1" customWidth="1"/>
    <col min="22" max="22" width="19.88671875" bestFit="1" customWidth="1"/>
    <col min="25" max="25" width="23.44140625" bestFit="1" customWidth="1"/>
    <col min="26" max="26" width="17.77734375" bestFit="1" customWidth="1"/>
    <col min="27" max="27" width="13.44140625" bestFit="1" customWidth="1"/>
    <col min="28" max="28" width="12" bestFit="1" customWidth="1"/>
    <col min="29" max="29" width="18.33203125" bestFit="1" customWidth="1"/>
    <col min="30" max="30" width="17.109375" bestFit="1" customWidth="1"/>
    <col min="31" max="31" width="32.33203125" bestFit="1" customWidth="1"/>
    <col min="32" max="32" width="19.88671875" bestFit="1" customWidth="1"/>
  </cols>
  <sheetData>
    <row r="2" spans="2:32" x14ac:dyDescent="0.25">
      <c r="O2" s="25" t="s">
        <v>23</v>
      </c>
      <c r="P2" s="39">
        <v>2.5000000000000001E-3</v>
      </c>
      <c r="Y2" s="25" t="s">
        <v>24</v>
      </c>
      <c r="Z2" s="39">
        <v>2.5000000000000001E-3</v>
      </c>
    </row>
    <row r="3" spans="2:32" x14ac:dyDescent="0.25">
      <c r="B3" s="75" t="s">
        <v>4</v>
      </c>
      <c r="C3" s="75"/>
      <c r="E3" s="34" t="s">
        <v>7</v>
      </c>
      <c r="F3" s="34" t="s">
        <v>20</v>
      </c>
      <c r="G3" s="34" t="s">
        <v>8</v>
      </c>
      <c r="H3" s="34" t="s">
        <v>9</v>
      </c>
      <c r="I3" s="34" t="s">
        <v>22</v>
      </c>
      <c r="J3" s="34" t="s">
        <v>10</v>
      </c>
      <c r="K3" s="34" t="s">
        <v>21</v>
      </c>
      <c r="L3" s="34" t="s">
        <v>11</v>
      </c>
      <c r="O3" s="34" t="s">
        <v>7</v>
      </c>
      <c r="P3" s="34" t="s">
        <v>20</v>
      </c>
      <c r="Q3" s="34" t="s">
        <v>8</v>
      </c>
      <c r="R3" s="34" t="s">
        <v>9</v>
      </c>
      <c r="S3" s="34" t="s">
        <v>22</v>
      </c>
      <c r="T3" s="34" t="s">
        <v>10</v>
      </c>
      <c r="U3" s="34" t="s">
        <v>21</v>
      </c>
      <c r="V3" s="34" t="s">
        <v>11</v>
      </c>
      <c r="Y3" s="34" t="s">
        <v>7</v>
      </c>
      <c r="Z3" s="34" t="s">
        <v>20</v>
      </c>
      <c r="AA3" s="34" t="s">
        <v>8</v>
      </c>
      <c r="AB3" s="34" t="s">
        <v>9</v>
      </c>
      <c r="AC3" s="34" t="s">
        <v>22</v>
      </c>
      <c r="AD3" s="34" t="s">
        <v>10</v>
      </c>
      <c r="AE3" s="34" t="s">
        <v>21</v>
      </c>
      <c r="AF3" s="34" t="s">
        <v>11</v>
      </c>
    </row>
    <row r="4" spans="2:32" x14ac:dyDescent="0.25">
      <c r="B4" s="26" t="s">
        <v>0</v>
      </c>
      <c r="C4" s="80">
        <f>'30 year Gilt (2)'!C3</f>
        <v>86.576454352517374</v>
      </c>
      <c r="E4" s="79">
        <v>0.5</v>
      </c>
      <c r="F4" s="8">
        <f>$C$6</f>
        <v>5.3400000000000003E-2</v>
      </c>
      <c r="G4" s="80">
        <f>$C$9</f>
        <v>2.1875</v>
      </c>
      <c r="H4" s="80">
        <f>G4/(1+F4)^E4</f>
        <v>2.1313334681327465</v>
      </c>
      <c r="I4" s="28">
        <f>H4/H$64</f>
        <v>2.4617934334137743E-2</v>
      </c>
      <c r="J4" s="21">
        <f>I4*E4</f>
        <v>1.2308967167068871E-2</v>
      </c>
      <c r="K4" s="15">
        <f>H4*(1+F4)^(E$35-E4)</f>
        <v>4.7736192043802443</v>
      </c>
      <c r="L4" s="15">
        <f>E4*H4*(E4+0.5)</f>
        <v>1.0656667340663732</v>
      </c>
      <c r="O4" s="79">
        <v>0.5</v>
      </c>
      <c r="P4" s="7">
        <f>C6</f>
        <v>5.3400000000000003E-2</v>
      </c>
      <c r="Q4" s="13">
        <f>$C$9</f>
        <v>2.1875</v>
      </c>
      <c r="R4" s="13">
        <f>Q4/(1+P4)^O4</f>
        <v>2.1313334681327465</v>
      </c>
      <c r="S4" s="28">
        <f>R4/R$64</f>
        <v>3.2260979144630504E-2</v>
      </c>
      <c r="T4" s="21">
        <f>S4*O4</f>
        <v>1.6130489572315252E-2</v>
      </c>
      <c r="U4" s="15">
        <f>R4*(1+P4)^(O$35-O4)</f>
        <v>4.7736192043802443</v>
      </c>
      <c r="V4" s="15">
        <f>O4*R4*(O4+0.5)</f>
        <v>1.0656667340663732</v>
      </c>
      <c r="Y4" s="79">
        <v>0.5</v>
      </c>
      <c r="Z4" s="7">
        <f xml:space="preserve"> $C$6 + INT((ROW()-4)/5)*(-$P$2)</f>
        <v>5.3400000000000003E-2</v>
      </c>
      <c r="AA4" s="13">
        <f>$C$9</f>
        <v>2.1875</v>
      </c>
      <c r="AB4" s="13">
        <f>AA4/(1+Z4)^Y4</f>
        <v>2.1313334681327465</v>
      </c>
      <c r="AC4" s="28">
        <f>AB4/AB$64</f>
        <v>1.6861173692733173E-2</v>
      </c>
      <c r="AD4" s="21">
        <f>AC4*Y4</f>
        <v>8.4305868463665865E-3</v>
      </c>
      <c r="AE4" s="15">
        <f>AB4*(1+Z4)^(Y$35-Y4)</f>
        <v>4.7736192043802443</v>
      </c>
      <c r="AF4" s="15">
        <f>Y4*AB4*(Y4+0.5)</f>
        <v>1.0656667340663732</v>
      </c>
    </row>
    <row r="5" spans="2:32" x14ac:dyDescent="0.25">
      <c r="B5" s="26" t="s">
        <v>5</v>
      </c>
      <c r="C5" s="80">
        <f>'30 year Gilt (2)'!C4</f>
        <v>100</v>
      </c>
      <c r="E5" s="79">
        <v>1</v>
      </c>
      <c r="F5" s="8">
        <f t="shared" ref="F5:F63" si="0">$C$6</f>
        <v>5.3400000000000003E-2</v>
      </c>
      <c r="G5" s="80">
        <f t="shared" ref="G5:G62" si="1">$C$9</f>
        <v>2.1875</v>
      </c>
      <c r="H5" s="80">
        <f t="shared" ref="H5:H63" si="2">G5/(1+F5)^E5</f>
        <v>2.0766090753749764</v>
      </c>
      <c r="I5" s="28">
        <f t="shared" ref="I5:I63" si="3">H5/H$64</f>
        <v>2.3985841080064917E-2</v>
      </c>
      <c r="J5" s="21">
        <f t="shared" ref="J5:J63" si="4">I5*E5</f>
        <v>2.3985841080064917E-2</v>
      </c>
      <c r="K5" s="15">
        <f t="shared" ref="K5:K34" si="5">H5*(1+F5)^(E$35-E5)</f>
        <v>4.531630154148707</v>
      </c>
      <c r="L5" s="15">
        <f>E5*H5*(E5+0.5)</f>
        <v>3.1149136130624644</v>
      </c>
      <c r="O5" s="79">
        <v>1</v>
      </c>
      <c r="P5" s="7">
        <f xml:space="preserve"> $C$6 + INT((ROW()-4)/5)*$P$2</f>
        <v>5.3400000000000003E-2</v>
      </c>
      <c r="Q5" s="13">
        <f t="shared" ref="Q5:Q62" si="6">$C$9</f>
        <v>2.1875</v>
      </c>
      <c r="R5" s="13">
        <f t="shared" ref="R5:R62" si="7">Q5/(1+P5)^O5</f>
        <v>2.0766090753749764</v>
      </c>
      <c r="S5" s="28">
        <f t="shared" ref="S5:S63" si="8">R5/R$64</f>
        <v>3.1432642087169615E-2</v>
      </c>
      <c r="T5" s="21">
        <f t="shared" ref="T5:T63" si="9">S5*O5</f>
        <v>3.1432642087169615E-2</v>
      </c>
      <c r="U5" s="15">
        <f t="shared" ref="U5:U29" si="10">R5*(1+P5)^(O$35-O5)</f>
        <v>4.531630154148707</v>
      </c>
      <c r="V5" s="15">
        <f t="shared" ref="V5:V63" si="11">O5*R5*(O5+0.5)</f>
        <v>3.1149136130624644</v>
      </c>
      <c r="Y5" s="79">
        <v>1</v>
      </c>
      <c r="Z5" s="7">
        <f t="shared" ref="Z5:Z63" si="12" xml:space="preserve"> $C$6 + INT((ROW()-4)/5)*(-$P$2)</f>
        <v>5.3400000000000003E-2</v>
      </c>
      <c r="AA5" s="13">
        <f t="shared" ref="AA5:AA63" si="13">$C$9</f>
        <v>2.1875</v>
      </c>
      <c r="AB5" s="13">
        <f t="shared" ref="AB5:AB63" si="14">AA5/(1+Z5)^Y5</f>
        <v>2.0766090753749764</v>
      </c>
      <c r="AC5" s="28">
        <f t="shared" ref="AC5:AC63" si="15">AB5/AB$64</f>
        <v>1.64282440243756E-2</v>
      </c>
      <c r="AD5" s="21">
        <f t="shared" ref="AD5:AD63" si="16">AC5*Y5</f>
        <v>1.64282440243756E-2</v>
      </c>
      <c r="AE5" s="15">
        <f t="shared" ref="AE5:AE47" si="17">AB5*(1+Z5)^(Y$35-Y5)</f>
        <v>4.531630154148707</v>
      </c>
      <c r="AF5" s="15">
        <f t="shared" ref="AF5:AF63" si="18">Y5*AB5*(Y5+0.5)</f>
        <v>3.1149136130624644</v>
      </c>
    </row>
    <row r="6" spans="2:32" x14ac:dyDescent="0.25">
      <c r="B6" s="26" t="s">
        <v>1</v>
      </c>
      <c r="C6" s="86">
        <f>'30 year Gilt (2)'!C5</f>
        <v>5.3400000000000003E-2</v>
      </c>
      <c r="E6" s="79">
        <v>1.5</v>
      </c>
      <c r="F6" s="8">
        <f t="shared" si="0"/>
        <v>5.3400000000000003E-2</v>
      </c>
      <c r="G6" s="80">
        <f t="shared" si="1"/>
        <v>2.1875</v>
      </c>
      <c r="H6" s="80">
        <f t="shared" si="2"/>
        <v>2.0232897931770903</v>
      </c>
      <c r="I6" s="28">
        <f t="shared" si="3"/>
        <v>2.3369977533831163E-2</v>
      </c>
      <c r="J6" s="21">
        <f t="shared" si="4"/>
        <v>3.5054966300746747E-2</v>
      </c>
      <c r="K6" s="15">
        <f t="shared" si="5"/>
        <v>4.3019082534162765</v>
      </c>
      <c r="L6" s="15">
        <f>E6*H6*(E6+0.5)</f>
        <v>6.069869379531271</v>
      </c>
      <c r="O6" s="79">
        <v>1.5</v>
      </c>
      <c r="P6" s="7">
        <f t="shared" ref="P6:P63" si="19" xml:space="preserve"> $C$6 + INT((ROW()-4)/5)*$P$2</f>
        <v>5.3400000000000003E-2</v>
      </c>
      <c r="Q6" s="13">
        <f t="shared" si="6"/>
        <v>2.1875</v>
      </c>
      <c r="R6" s="13">
        <f t="shared" si="7"/>
        <v>2.0232897931770903</v>
      </c>
      <c r="S6" s="28">
        <f t="shared" si="8"/>
        <v>3.0625573518730315E-2</v>
      </c>
      <c r="T6" s="21">
        <f t="shared" si="9"/>
        <v>4.5938360278095475E-2</v>
      </c>
      <c r="U6" s="15">
        <f t="shared" si="10"/>
        <v>4.3019082534162765</v>
      </c>
      <c r="V6" s="15">
        <f t="shared" si="11"/>
        <v>6.069869379531271</v>
      </c>
      <c r="Y6" s="79">
        <v>1.5</v>
      </c>
      <c r="Z6" s="7">
        <f t="shared" si="12"/>
        <v>5.3400000000000003E-2</v>
      </c>
      <c r="AA6" s="13">
        <f t="shared" si="13"/>
        <v>2.1875</v>
      </c>
      <c r="AB6" s="13">
        <f t="shared" si="14"/>
        <v>2.0232897931770903</v>
      </c>
      <c r="AC6" s="28">
        <f t="shared" si="15"/>
        <v>1.6006430313967323E-2</v>
      </c>
      <c r="AD6" s="21">
        <f t="shared" si="16"/>
        <v>2.4009645470950983E-2</v>
      </c>
      <c r="AE6" s="15">
        <f t="shared" si="17"/>
        <v>4.3019082534162765</v>
      </c>
      <c r="AF6" s="15">
        <f t="shared" si="18"/>
        <v>6.069869379531271</v>
      </c>
    </row>
    <row r="7" spans="2:32" x14ac:dyDescent="0.25">
      <c r="B7" s="26" t="s">
        <v>6</v>
      </c>
      <c r="C7" s="86">
        <f>'30 year Gilt (2)'!C6</f>
        <v>4.3749999999999997E-2</v>
      </c>
      <c r="E7" s="79">
        <v>2</v>
      </c>
      <c r="F7" s="8">
        <f t="shared" si="0"/>
        <v>5.3400000000000003E-2</v>
      </c>
      <c r="G7" s="80">
        <f t="shared" si="1"/>
        <v>2.1875</v>
      </c>
      <c r="H7" s="80">
        <f t="shared" si="2"/>
        <v>1.971339543739298</v>
      </c>
      <c r="I7" s="28">
        <f t="shared" si="3"/>
        <v>2.2769926979366736E-2</v>
      </c>
      <c r="J7" s="21">
        <f t="shared" si="4"/>
        <v>4.5539853958733473E-2</v>
      </c>
      <c r="K7" s="15">
        <f t="shared" si="5"/>
        <v>4.0838316436456026</v>
      </c>
      <c r="L7" s="15">
        <f>E7*H7*(E7+0.5)</f>
        <v>9.8566977186964895</v>
      </c>
      <c r="O7" s="79">
        <v>2</v>
      </c>
      <c r="P7" s="7">
        <f t="shared" si="19"/>
        <v>5.3400000000000003E-2</v>
      </c>
      <c r="Q7" s="13">
        <f t="shared" si="6"/>
        <v>2.1875</v>
      </c>
      <c r="R7" s="13">
        <f t="shared" si="7"/>
        <v>1.971339543739298</v>
      </c>
      <c r="S7" s="28">
        <f t="shared" si="8"/>
        <v>2.9839227346847939E-2</v>
      </c>
      <c r="T7" s="21">
        <f t="shared" si="9"/>
        <v>5.9678454693695877E-2</v>
      </c>
      <c r="U7" s="15">
        <f t="shared" si="10"/>
        <v>4.0838316436456026</v>
      </c>
      <c r="V7" s="15">
        <f t="shared" si="11"/>
        <v>9.8566977186964895</v>
      </c>
      <c r="Y7" s="79">
        <v>2</v>
      </c>
      <c r="Z7" s="7">
        <f t="shared" si="12"/>
        <v>5.3400000000000003E-2</v>
      </c>
      <c r="AA7" s="13">
        <f t="shared" si="13"/>
        <v>2.1875</v>
      </c>
      <c r="AB7" s="13">
        <f t="shared" si="14"/>
        <v>1.971339543739298</v>
      </c>
      <c r="AC7" s="28">
        <f t="shared" si="15"/>
        <v>1.55954471467397E-2</v>
      </c>
      <c r="AD7" s="21">
        <f t="shared" si="16"/>
        <v>3.1190894293479401E-2</v>
      </c>
      <c r="AE7" s="15">
        <f t="shared" si="17"/>
        <v>4.0838316436456026</v>
      </c>
      <c r="AF7" s="15">
        <f t="shared" si="18"/>
        <v>9.8566977186964895</v>
      </c>
    </row>
    <row r="8" spans="2:32" x14ac:dyDescent="0.25">
      <c r="B8" s="26" t="s">
        <v>2</v>
      </c>
      <c r="C8" s="80">
        <f>'30 year Gilt (2)'!C7</f>
        <v>4.375</v>
      </c>
      <c r="E8" s="79">
        <v>2.5</v>
      </c>
      <c r="F8" s="8">
        <f t="shared" si="0"/>
        <v>5.3400000000000003E-2</v>
      </c>
      <c r="G8" s="80">
        <f t="shared" si="1"/>
        <v>2.1875</v>
      </c>
      <c r="H8" s="80">
        <f t="shared" si="2"/>
        <v>1.9207231756000478</v>
      </c>
      <c r="I8" s="28">
        <f t="shared" si="3"/>
        <v>2.2185283400257418E-2</v>
      </c>
      <c r="J8" s="21">
        <f t="shared" si="4"/>
        <v>5.546320850064354E-2</v>
      </c>
      <c r="K8" s="15">
        <f t="shared" si="5"/>
        <v>3.8768099901704964</v>
      </c>
      <c r="L8" s="15">
        <f>E8*H8*(E8+0.5)</f>
        <v>14.405423817000358</v>
      </c>
      <c r="O8" s="79">
        <v>2.5</v>
      </c>
      <c r="P8" s="7">
        <f t="shared" si="19"/>
        <v>5.3400000000000003E-2</v>
      </c>
      <c r="Q8" s="13">
        <f t="shared" si="6"/>
        <v>2.1875</v>
      </c>
      <c r="R8" s="13">
        <f t="shared" si="7"/>
        <v>1.9207231756000478</v>
      </c>
      <c r="S8" s="28">
        <f t="shared" si="8"/>
        <v>2.907307150059836E-2</v>
      </c>
      <c r="T8" s="21">
        <f t="shared" si="9"/>
        <v>7.2682678751495894E-2</v>
      </c>
      <c r="U8" s="15">
        <f t="shared" si="10"/>
        <v>3.8768099901704964</v>
      </c>
      <c r="V8" s="15">
        <f t="shared" si="11"/>
        <v>14.405423817000358</v>
      </c>
      <c r="Y8" s="79">
        <v>2.5</v>
      </c>
      <c r="Z8" s="7">
        <f t="shared" si="12"/>
        <v>5.3400000000000003E-2</v>
      </c>
      <c r="AA8" s="13">
        <f t="shared" si="13"/>
        <v>2.1875</v>
      </c>
      <c r="AB8" s="13">
        <f t="shared" si="14"/>
        <v>1.9207231756000478</v>
      </c>
      <c r="AC8" s="28">
        <f t="shared" si="15"/>
        <v>1.519501643627048E-2</v>
      </c>
      <c r="AD8" s="21">
        <f t="shared" si="16"/>
        <v>3.7987541090676202E-2</v>
      </c>
      <c r="AE8" s="15">
        <f t="shared" si="17"/>
        <v>3.8768099901704964</v>
      </c>
      <c r="AF8" s="15">
        <f t="shared" si="18"/>
        <v>14.405423817000358</v>
      </c>
    </row>
    <row r="9" spans="2:32" x14ac:dyDescent="0.25">
      <c r="B9" s="27" t="s">
        <v>19</v>
      </c>
      <c r="C9" s="89">
        <f>'30 year Gilt (2)'!C8</f>
        <v>2.1875</v>
      </c>
      <c r="E9" s="79">
        <v>3</v>
      </c>
      <c r="F9" s="8">
        <f t="shared" si="0"/>
        <v>5.3400000000000003E-2</v>
      </c>
      <c r="G9" s="80">
        <f t="shared" si="1"/>
        <v>2.1875</v>
      </c>
      <c r="H9" s="80">
        <f t="shared" si="2"/>
        <v>1.8714064398512418</v>
      </c>
      <c r="I9" s="28">
        <f t="shared" si="3"/>
        <v>2.1615651205018738E-2</v>
      </c>
      <c r="J9" s="21">
        <f t="shared" si="4"/>
        <v>6.4846953615056213E-2</v>
      </c>
      <c r="K9" s="15">
        <f t="shared" si="5"/>
        <v>3.6802828841565396</v>
      </c>
      <c r="L9" s="15">
        <f>E9*H9*(E9+0.5)</f>
        <v>19.649767618438037</v>
      </c>
      <c r="O9" s="79">
        <v>3</v>
      </c>
      <c r="P9" s="7">
        <f t="shared" si="19"/>
        <v>5.5900000000000005E-2</v>
      </c>
      <c r="Q9" s="13">
        <f t="shared" si="6"/>
        <v>2.1875</v>
      </c>
      <c r="R9" s="13">
        <f t="shared" si="7"/>
        <v>1.858145389295959</v>
      </c>
      <c r="S9" s="28">
        <f t="shared" si="8"/>
        <v>2.8125861367102906E-2</v>
      </c>
      <c r="T9" s="21">
        <f t="shared" si="9"/>
        <v>8.4377584101308717E-2</v>
      </c>
      <c r="U9" s="15">
        <f t="shared" si="10"/>
        <v>3.7685645672116337</v>
      </c>
      <c r="V9" s="15">
        <f t="shared" si="11"/>
        <v>19.510526587607568</v>
      </c>
      <c r="Y9" s="79">
        <v>3</v>
      </c>
      <c r="Z9" s="7">
        <f t="shared" si="12"/>
        <v>5.0900000000000001E-2</v>
      </c>
      <c r="AA9" s="13">
        <f t="shared" si="13"/>
        <v>2.1875</v>
      </c>
      <c r="AB9" s="13">
        <f t="shared" si="14"/>
        <v>1.8847939782738998</v>
      </c>
      <c r="AC9" s="28">
        <f t="shared" si="15"/>
        <v>1.4910777275287656E-2</v>
      </c>
      <c r="AD9" s="21">
        <f t="shared" si="16"/>
        <v>4.4732331825862968E-2</v>
      </c>
      <c r="AE9" s="15">
        <f t="shared" si="17"/>
        <v>3.5938668439847001</v>
      </c>
      <c r="AF9" s="15">
        <f t="shared" si="18"/>
        <v>19.79033677187595</v>
      </c>
    </row>
    <row r="10" spans="2:32" x14ac:dyDescent="0.25">
      <c r="E10" s="79">
        <v>3.5</v>
      </c>
      <c r="F10" s="8">
        <f t="shared" si="0"/>
        <v>5.3400000000000003E-2</v>
      </c>
      <c r="G10" s="80">
        <f t="shared" si="1"/>
        <v>2.1875</v>
      </c>
      <c r="H10" s="80">
        <f t="shared" si="2"/>
        <v>1.8233559669641617</v>
      </c>
      <c r="I10" s="28">
        <f t="shared" si="3"/>
        <v>2.1060644959424168E-2</v>
      </c>
      <c r="J10" s="21">
        <f t="shared" si="4"/>
        <v>7.371225735798459E-2</v>
      </c>
      <c r="K10" s="15">
        <f t="shared" si="5"/>
        <v>3.4937183255710447</v>
      </c>
      <c r="L10" s="15">
        <f>E10*H10*(E10+0.5)</f>
        <v>25.526983537498264</v>
      </c>
      <c r="O10" s="79">
        <v>3.5</v>
      </c>
      <c r="P10" s="7">
        <f t="shared" si="19"/>
        <v>5.5900000000000005E-2</v>
      </c>
      <c r="Q10" s="13">
        <f t="shared" si="6"/>
        <v>2.1875</v>
      </c>
      <c r="R10" s="13">
        <f t="shared" si="7"/>
        <v>1.8082909014433122</v>
      </c>
      <c r="S10" s="28">
        <f t="shared" si="8"/>
        <v>2.7371237739722085E-2</v>
      </c>
      <c r="T10" s="21">
        <f t="shared" si="9"/>
        <v>9.57993320890273E-2</v>
      </c>
      <c r="U10" s="15">
        <f t="shared" si="10"/>
        <v>3.5690544248618545</v>
      </c>
      <c r="V10" s="15">
        <f t="shared" si="11"/>
        <v>25.31607262020637</v>
      </c>
      <c r="Y10" s="79">
        <v>3.5</v>
      </c>
      <c r="Z10" s="7">
        <f t="shared" si="12"/>
        <v>5.0900000000000001E-2</v>
      </c>
      <c r="AA10" s="13">
        <f t="shared" si="13"/>
        <v>2.1875</v>
      </c>
      <c r="AB10" s="13">
        <f t="shared" si="14"/>
        <v>1.8385827856165904</v>
      </c>
      <c r="AC10" s="28">
        <f t="shared" si="15"/>
        <v>1.4545196310322148E-2</v>
      </c>
      <c r="AD10" s="21">
        <f t="shared" si="16"/>
        <v>5.0908187086127515E-2</v>
      </c>
      <c r="AE10" s="15">
        <f t="shared" si="17"/>
        <v>3.4197990712576831</v>
      </c>
      <c r="AF10" s="15">
        <f t="shared" si="18"/>
        <v>25.740158998632264</v>
      </c>
    </row>
    <row r="11" spans="2:32" x14ac:dyDescent="0.25">
      <c r="E11" s="79">
        <v>4</v>
      </c>
      <c r="F11" s="8">
        <f t="shared" si="0"/>
        <v>5.3400000000000003E-2</v>
      </c>
      <c r="G11" s="80">
        <f t="shared" si="1"/>
        <v>2.1875</v>
      </c>
      <c r="H11" s="80">
        <f t="shared" si="2"/>
        <v>1.7765392442104062</v>
      </c>
      <c r="I11" s="28">
        <f t="shared" si="3"/>
        <v>2.0519889125706035E-2</v>
      </c>
      <c r="J11" s="21">
        <f t="shared" si="4"/>
        <v>8.2079556502824141E-2</v>
      </c>
      <c r="K11" s="15">
        <f t="shared" si="5"/>
        <v>3.3166112830558632</v>
      </c>
      <c r="L11" s="15">
        <f>E11*H11*(E11+0.5)</f>
        <v>31.977706395787312</v>
      </c>
      <c r="O11" s="79">
        <v>4</v>
      </c>
      <c r="P11" s="7">
        <f t="shared" si="19"/>
        <v>5.5900000000000005E-2</v>
      </c>
      <c r="Q11" s="13">
        <f t="shared" si="6"/>
        <v>2.1875</v>
      </c>
      <c r="R11" s="13">
        <f t="shared" si="7"/>
        <v>1.7597740214944206</v>
      </c>
      <c r="S11" s="28">
        <f t="shared" si="8"/>
        <v>2.6636860845821481E-2</v>
      </c>
      <c r="T11" s="21">
        <f t="shared" si="9"/>
        <v>0.10654744338328592</v>
      </c>
      <c r="U11" s="15">
        <f t="shared" si="10"/>
        <v>3.3801064730200352</v>
      </c>
      <c r="V11" s="15">
        <f t="shared" si="11"/>
        <v>31.675932386899571</v>
      </c>
      <c r="Y11" s="79">
        <v>4</v>
      </c>
      <c r="Z11" s="7">
        <f t="shared" si="12"/>
        <v>5.0900000000000001E-2</v>
      </c>
      <c r="AA11" s="13">
        <f t="shared" si="13"/>
        <v>2.1875</v>
      </c>
      <c r="AB11" s="13">
        <f t="shared" si="14"/>
        <v>1.7935045944180223</v>
      </c>
      <c r="AC11" s="28">
        <f t="shared" si="15"/>
        <v>1.4188578623358697E-2</v>
      </c>
      <c r="AD11" s="21">
        <f t="shared" si="16"/>
        <v>5.6754314493434786E-2</v>
      </c>
      <c r="AE11" s="15">
        <f t="shared" si="17"/>
        <v>3.2541622145377143</v>
      </c>
      <c r="AF11" s="15">
        <f t="shared" si="18"/>
        <v>32.2830826995244</v>
      </c>
    </row>
    <row r="12" spans="2:32" x14ac:dyDescent="0.25">
      <c r="E12" s="79">
        <v>4.5</v>
      </c>
      <c r="F12" s="8">
        <f t="shared" si="0"/>
        <v>5.3400000000000003E-2</v>
      </c>
      <c r="G12" s="80">
        <f t="shared" si="1"/>
        <v>2.1875</v>
      </c>
      <c r="H12" s="80">
        <f t="shared" si="2"/>
        <v>1.7309245936625801</v>
      </c>
      <c r="I12" s="28">
        <f t="shared" si="3"/>
        <v>1.9993017808452793E-2</v>
      </c>
      <c r="J12" s="21">
        <f t="shared" si="4"/>
        <v>8.9968580138037574E-2</v>
      </c>
      <c r="K12" s="15">
        <f t="shared" si="5"/>
        <v>3.1484823268045017</v>
      </c>
      <c r="L12" s="15">
        <f>E12*H12*(E12+0.5)</f>
        <v>38.945803357408053</v>
      </c>
      <c r="O12" s="79">
        <v>4.5</v>
      </c>
      <c r="P12" s="7">
        <f t="shared" si="19"/>
        <v>5.5900000000000005E-2</v>
      </c>
      <c r="Q12" s="13">
        <f t="shared" si="6"/>
        <v>2.1875</v>
      </c>
      <c r="R12" s="13">
        <f t="shared" si="7"/>
        <v>1.7125588611074078</v>
      </c>
      <c r="S12" s="28">
        <f t="shared" si="8"/>
        <v>2.5922187460670598E-2</v>
      </c>
      <c r="T12" s="21">
        <f t="shared" si="9"/>
        <v>0.11664984357301769</v>
      </c>
      <c r="U12" s="15">
        <f t="shared" si="10"/>
        <v>3.201161542778705</v>
      </c>
      <c r="V12" s="15">
        <f t="shared" si="11"/>
        <v>38.532574374916678</v>
      </c>
      <c r="Y12" s="79">
        <v>4.5</v>
      </c>
      <c r="Z12" s="7">
        <f t="shared" si="12"/>
        <v>5.0900000000000001E-2</v>
      </c>
      <c r="AA12" s="13">
        <f t="shared" si="13"/>
        <v>2.1875</v>
      </c>
      <c r="AB12" s="13">
        <f t="shared" si="14"/>
        <v>1.7495316258603013</v>
      </c>
      <c r="AC12" s="28">
        <f t="shared" si="15"/>
        <v>1.3840704453632268E-2</v>
      </c>
      <c r="AD12" s="21">
        <f t="shared" si="16"/>
        <v>6.2283170041345204E-2</v>
      </c>
      <c r="AE12" s="15">
        <f t="shared" si="17"/>
        <v>3.0965479251476959</v>
      </c>
      <c r="AF12" s="15">
        <f t="shared" si="18"/>
        <v>39.36446158185678</v>
      </c>
    </row>
    <row r="13" spans="2:32" x14ac:dyDescent="0.25">
      <c r="E13" s="79">
        <v>5</v>
      </c>
      <c r="F13" s="8">
        <f t="shared" si="0"/>
        <v>5.3400000000000003E-2</v>
      </c>
      <c r="G13" s="80">
        <f t="shared" si="1"/>
        <v>2.1875</v>
      </c>
      <c r="H13" s="80">
        <f t="shared" si="2"/>
        <v>1.6864811507598314</v>
      </c>
      <c r="I13" s="28">
        <f t="shared" si="3"/>
        <v>1.9479674507030604E-2</v>
      </c>
      <c r="J13" s="21">
        <f t="shared" si="4"/>
        <v>9.7398372535153016E-2</v>
      </c>
      <c r="K13" s="15">
        <f t="shared" si="5"/>
        <v>2.9888763307428357</v>
      </c>
      <c r="L13" s="15">
        <f>E13*H13*(E13+0.5)</f>
        <v>46.378231645895369</v>
      </c>
      <c r="O13" s="79">
        <v>5</v>
      </c>
      <c r="P13" s="7">
        <f t="shared" si="19"/>
        <v>5.5900000000000005E-2</v>
      </c>
      <c r="Q13" s="13">
        <f t="shared" si="6"/>
        <v>2.1875</v>
      </c>
      <c r="R13" s="13">
        <f t="shared" si="7"/>
        <v>1.6666104948332423</v>
      </c>
      <c r="S13" s="28">
        <f t="shared" si="8"/>
        <v>2.5226688934389129E-2</v>
      </c>
      <c r="T13" s="21">
        <f t="shared" si="9"/>
        <v>0.12613344467194565</v>
      </c>
      <c r="U13" s="15">
        <f t="shared" si="10"/>
        <v>3.0316900679786958</v>
      </c>
      <c r="V13" s="15">
        <f t="shared" si="11"/>
        <v>45.83178860791417</v>
      </c>
      <c r="Y13" s="79">
        <v>5</v>
      </c>
      <c r="Z13" s="7">
        <f t="shared" si="12"/>
        <v>5.0900000000000001E-2</v>
      </c>
      <c r="AA13" s="13">
        <f t="shared" si="13"/>
        <v>2.1875</v>
      </c>
      <c r="AB13" s="13">
        <f t="shared" si="14"/>
        <v>1.7066367822038464</v>
      </c>
      <c r="AC13" s="28">
        <f t="shared" si="15"/>
        <v>1.3501359428450561E-2</v>
      </c>
      <c r="AD13" s="21">
        <f t="shared" si="16"/>
        <v>6.75067971422528E-2</v>
      </c>
      <c r="AE13" s="15">
        <f t="shared" si="17"/>
        <v>2.9465676326460137</v>
      </c>
      <c r="AF13" s="15">
        <f t="shared" si="18"/>
        <v>46.932511510605778</v>
      </c>
    </row>
    <row r="14" spans="2:32" x14ac:dyDescent="0.25">
      <c r="E14" s="79">
        <v>5.5</v>
      </c>
      <c r="F14" s="8">
        <f t="shared" si="0"/>
        <v>5.3400000000000003E-2</v>
      </c>
      <c r="G14" s="80">
        <f t="shared" si="1"/>
        <v>2.1875</v>
      </c>
      <c r="H14" s="80">
        <f t="shared" si="2"/>
        <v>1.6431788434237522</v>
      </c>
      <c r="I14" s="28">
        <f t="shared" si="3"/>
        <v>1.8979511874361872E-2</v>
      </c>
      <c r="J14" s="21">
        <f t="shared" si="4"/>
        <v>0.1043873153089903</v>
      </c>
      <c r="K14" s="15">
        <f t="shared" si="5"/>
        <v>2.8373612405001287</v>
      </c>
      <c r="L14" s="15">
        <f>E14*H14*(E14+0.5)</f>
        <v>54.224901832983818</v>
      </c>
      <c r="O14" s="79">
        <v>5.5</v>
      </c>
      <c r="P14" s="7">
        <f t="shared" si="19"/>
        <v>5.8400000000000001E-2</v>
      </c>
      <c r="Q14" s="13">
        <f t="shared" si="6"/>
        <v>2.1875</v>
      </c>
      <c r="R14" s="13">
        <f t="shared" si="7"/>
        <v>1.6009360721179153</v>
      </c>
      <c r="S14" s="28">
        <f t="shared" si="8"/>
        <v>2.4232606491057997E-2</v>
      </c>
      <c r="T14" s="21">
        <f t="shared" si="9"/>
        <v>0.13327933570081898</v>
      </c>
      <c r="U14" s="15">
        <f t="shared" si="10"/>
        <v>2.9053417004973978</v>
      </c>
      <c r="V14" s="15">
        <f t="shared" si="11"/>
        <v>52.830890379891201</v>
      </c>
      <c r="Y14" s="79">
        <v>5.5</v>
      </c>
      <c r="Z14" s="7">
        <f t="shared" si="12"/>
        <v>4.8400000000000006E-2</v>
      </c>
      <c r="AA14" s="13">
        <f t="shared" si="13"/>
        <v>2.1875</v>
      </c>
      <c r="AB14" s="13">
        <f t="shared" si="14"/>
        <v>1.6867452436333321</v>
      </c>
      <c r="AC14" s="28">
        <f t="shared" si="15"/>
        <v>1.3343995650389599E-2</v>
      </c>
      <c r="AD14" s="21">
        <f t="shared" si="16"/>
        <v>7.339197607714279E-2</v>
      </c>
      <c r="AE14" s="15">
        <f t="shared" si="17"/>
        <v>2.7706592868849911</v>
      </c>
      <c r="AF14" s="15">
        <f t="shared" si="18"/>
        <v>55.66259303989996</v>
      </c>
    </row>
    <row r="15" spans="2:32" x14ac:dyDescent="0.25">
      <c r="E15" s="79">
        <v>6</v>
      </c>
      <c r="F15" s="8">
        <f t="shared" si="0"/>
        <v>5.3400000000000003E-2</v>
      </c>
      <c r="G15" s="80">
        <f t="shared" si="1"/>
        <v>2.1875</v>
      </c>
      <c r="H15" s="80">
        <f t="shared" si="2"/>
        <v>1.6009883717104911</v>
      </c>
      <c r="I15" s="28">
        <f t="shared" si="3"/>
        <v>1.8492191481897288E-2</v>
      </c>
      <c r="J15" s="21">
        <f t="shared" si="4"/>
        <v>0.11095314889138372</v>
      </c>
      <c r="K15" s="15">
        <f t="shared" si="5"/>
        <v>2.6935269038353229</v>
      </c>
      <c r="L15" s="15">
        <f>E15*H15*(E15+0.5)</f>
        <v>62.438546496709158</v>
      </c>
      <c r="O15" s="79">
        <v>6</v>
      </c>
      <c r="P15" s="7">
        <f t="shared" si="19"/>
        <v>5.8400000000000001E-2</v>
      </c>
      <c r="Q15" s="13">
        <f t="shared" si="6"/>
        <v>2.1875</v>
      </c>
      <c r="R15" s="13">
        <f t="shared" si="7"/>
        <v>1.5561414632954063</v>
      </c>
      <c r="S15" s="28">
        <f t="shared" si="8"/>
        <v>2.3554571841566518E-2</v>
      </c>
      <c r="T15" s="21">
        <f t="shared" si="9"/>
        <v>0.1413274310493991</v>
      </c>
      <c r="U15" s="15">
        <f t="shared" si="10"/>
        <v>2.7450318409839367</v>
      </c>
      <c r="V15" s="15">
        <f t="shared" si="11"/>
        <v>60.68951706852085</v>
      </c>
      <c r="Y15" s="79">
        <v>6</v>
      </c>
      <c r="Z15" s="7">
        <f t="shared" si="12"/>
        <v>4.8400000000000006E-2</v>
      </c>
      <c r="AA15" s="13">
        <f t="shared" si="13"/>
        <v>2.1875</v>
      </c>
      <c r="AB15" s="13">
        <f t="shared" si="14"/>
        <v>1.6473504089356228</v>
      </c>
      <c r="AC15" s="28">
        <f t="shared" si="15"/>
        <v>1.3032339515689792E-2</v>
      </c>
      <c r="AD15" s="21">
        <f t="shared" si="16"/>
        <v>7.8194037094138746E-2</v>
      </c>
      <c r="AE15" s="15">
        <f t="shared" si="17"/>
        <v>2.6427501782573364</v>
      </c>
      <c r="AF15" s="15">
        <f t="shared" si="18"/>
        <v>64.246665948489294</v>
      </c>
    </row>
    <row r="16" spans="2:32" x14ac:dyDescent="0.25">
      <c r="E16" s="79">
        <v>6.5</v>
      </c>
      <c r="F16" s="8">
        <f t="shared" si="0"/>
        <v>5.3400000000000003E-2</v>
      </c>
      <c r="G16" s="80">
        <f t="shared" si="1"/>
        <v>2.1875</v>
      </c>
      <c r="H16" s="80">
        <f t="shared" si="2"/>
        <v>1.5598811879853354</v>
      </c>
      <c r="I16" s="28">
        <f t="shared" si="3"/>
        <v>1.8017383590622625E-2</v>
      </c>
      <c r="J16" s="21">
        <f t="shared" si="4"/>
        <v>0.11711299333904707</v>
      </c>
      <c r="K16" s="15">
        <f t="shared" si="5"/>
        <v>2.5569839603524995</v>
      </c>
      <c r="L16" s="15">
        <f>E16*H16*(E16+0.5)</f>
        <v>70.974594053332765</v>
      </c>
      <c r="O16" s="79">
        <v>6.5</v>
      </c>
      <c r="P16" s="7">
        <f t="shared" si="19"/>
        <v>5.8400000000000001E-2</v>
      </c>
      <c r="Q16" s="13">
        <f t="shared" si="6"/>
        <v>2.1875</v>
      </c>
      <c r="R16" s="13">
        <f t="shared" si="7"/>
        <v>1.5126002193101997</v>
      </c>
      <c r="S16" s="28">
        <f t="shared" si="8"/>
        <v>2.2895508778399468E-2</v>
      </c>
      <c r="T16" s="21">
        <f t="shared" si="9"/>
        <v>0.14882080705959655</v>
      </c>
      <c r="U16" s="15">
        <f t="shared" si="10"/>
        <v>2.5935674990400002</v>
      </c>
      <c r="V16" s="15">
        <f t="shared" si="11"/>
        <v>68.823309978614091</v>
      </c>
      <c r="Y16" s="79">
        <v>6.5</v>
      </c>
      <c r="Z16" s="7">
        <f t="shared" si="12"/>
        <v>4.8400000000000006E-2</v>
      </c>
      <c r="AA16" s="13">
        <f t="shared" si="13"/>
        <v>2.1875</v>
      </c>
      <c r="AB16" s="13">
        <f t="shared" si="14"/>
        <v>1.6088756616113431</v>
      </c>
      <c r="AC16" s="28">
        <f t="shared" si="15"/>
        <v>1.2727962276220526E-2</v>
      </c>
      <c r="AD16" s="21">
        <f t="shared" si="16"/>
        <v>8.2731754795433418E-2</v>
      </c>
      <c r="AE16" s="15">
        <f t="shared" si="17"/>
        <v>2.5207460685399998</v>
      </c>
      <c r="AF16" s="15">
        <f t="shared" si="18"/>
        <v>73.203842603316119</v>
      </c>
    </row>
    <row r="17" spans="5:32" x14ac:dyDescent="0.25">
      <c r="E17" s="79">
        <v>7</v>
      </c>
      <c r="F17" s="8">
        <f t="shared" si="0"/>
        <v>5.3400000000000003E-2</v>
      </c>
      <c r="G17" s="80">
        <f t="shared" si="1"/>
        <v>2.1875</v>
      </c>
      <c r="H17" s="80">
        <f t="shared" si="2"/>
        <v>1.5198294776063141</v>
      </c>
      <c r="I17" s="28">
        <f t="shared" si="3"/>
        <v>1.7554766927945026E-2</v>
      </c>
      <c r="J17" s="21">
        <f t="shared" si="4"/>
        <v>0.12288336849561518</v>
      </c>
      <c r="K17" s="15">
        <f t="shared" si="5"/>
        <v>2.4273627874999995</v>
      </c>
      <c r="L17" s="15">
        <f>E17*H17*(E17+0.5)</f>
        <v>79.791047574331486</v>
      </c>
      <c r="O17" s="79">
        <v>7</v>
      </c>
      <c r="P17" s="7">
        <f t="shared" si="19"/>
        <v>5.8400000000000001E-2</v>
      </c>
      <c r="Q17" s="13">
        <f t="shared" si="6"/>
        <v>2.1875</v>
      </c>
      <c r="R17" s="13">
        <f t="shared" si="7"/>
        <v>1.4702772706872695</v>
      </c>
      <c r="S17" s="28">
        <f t="shared" si="8"/>
        <v>2.2254886471623693E-2</v>
      </c>
      <c r="T17" s="21">
        <f t="shared" si="9"/>
        <v>0.15578420530136586</v>
      </c>
      <c r="U17" s="15">
        <f t="shared" si="10"/>
        <v>2.4504606</v>
      </c>
      <c r="V17" s="15">
        <f t="shared" si="11"/>
        <v>77.18955671108165</v>
      </c>
      <c r="Y17" s="79">
        <v>7</v>
      </c>
      <c r="Z17" s="7">
        <f t="shared" si="12"/>
        <v>4.8400000000000006E-2</v>
      </c>
      <c r="AA17" s="13">
        <f t="shared" si="13"/>
        <v>2.1875</v>
      </c>
      <c r="AB17" s="13">
        <f t="shared" si="14"/>
        <v>1.5712995125292086</v>
      </c>
      <c r="AC17" s="28">
        <f t="shared" si="15"/>
        <v>1.2430693929501895E-2</v>
      </c>
      <c r="AD17" s="21">
        <f t="shared" si="16"/>
        <v>8.7014857506513263E-2</v>
      </c>
      <c r="AE17" s="15">
        <f t="shared" si="17"/>
        <v>2.4043743499999994</v>
      </c>
      <c r="AF17" s="15">
        <f t="shared" si="18"/>
        <v>82.493224407783458</v>
      </c>
    </row>
    <row r="18" spans="5:32" x14ac:dyDescent="0.25">
      <c r="E18" s="79">
        <v>7.5</v>
      </c>
      <c r="F18" s="8">
        <f t="shared" si="0"/>
        <v>5.3400000000000003E-2</v>
      </c>
      <c r="G18" s="80">
        <f t="shared" si="1"/>
        <v>2.1875</v>
      </c>
      <c r="H18" s="80">
        <f t="shared" si="2"/>
        <v>1.4808061401037929</v>
      </c>
      <c r="I18" s="28">
        <f t="shared" si="3"/>
        <v>1.7104028470308171E-2</v>
      </c>
      <c r="J18" s="21">
        <f t="shared" si="4"/>
        <v>0.12828021352731128</v>
      </c>
      <c r="K18" s="15">
        <f t="shared" si="5"/>
        <v>2.3043125</v>
      </c>
      <c r="L18" s="15">
        <f>E18*H18*(E18+0.5)</f>
        <v>88.848368406227564</v>
      </c>
      <c r="O18" s="79">
        <v>7.5</v>
      </c>
      <c r="P18" s="7">
        <f t="shared" si="19"/>
        <v>5.8400000000000001E-2</v>
      </c>
      <c r="Q18" s="13">
        <f t="shared" si="6"/>
        <v>2.1875</v>
      </c>
      <c r="R18" s="13">
        <f t="shared" si="7"/>
        <v>1.4291385292046483</v>
      </c>
      <c r="S18" s="28">
        <f t="shared" si="8"/>
        <v>2.1632188944066016E-2</v>
      </c>
      <c r="T18" s="21">
        <f t="shared" si="9"/>
        <v>0.16224141708049511</v>
      </c>
      <c r="U18" s="15">
        <f t="shared" si="10"/>
        <v>2.3152500000000003</v>
      </c>
      <c r="V18" s="15">
        <f t="shared" si="11"/>
        <v>85.748311752278894</v>
      </c>
      <c r="Y18" s="79">
        <v>7.5</v>
      </c>
      <c r="Z18" s="7">
        <f t="shared" si="12"/>
        <v>4.8400000000000006E-2</v>
      </c>
      <c r="AA18" s="13">
        <f t="shared" si="13"/>
        <v>2.1875</v>
      </c>
      <c r="AB18" s="13">
        <f t="shared" si="14"/>
        <v>1.5346009744480571</v>
      </c>
      <c r="AC18" s="28">
        <f t="shared" si="15"/>
        <v>1.214036844355258E-2</v>
      </c>
      <c r="AD18" s="21">
        <f t="shared" si="16"/>
        <v>9.1052763326644359E-2</v>
      </c>
      <c r="AE18" s="15">
        <f t="shared" si="17"/>
        <v>2.2933750000000002</v>
      </c>
      <c r="AF18" s="15">
        <f t="shared" si="18"/>
        <v>92.076058466883424</v>
      </c>
    </row>
    <row r="19" spans="5:32" x14ac:dyDescent="0.25">
      <c r="E19" s="79">
        <v>8</v>
      </c>
      <c r="F19" s="8">
        <f t="shared" si="0"/>
        <v>5.3400000000000003E-2</v>
      </c>
      <c r="G19" s="80">
        <f t="shared" si="1"/>
        <v>2.1875</v>
      </c>
      <c r="H19" s="80">
        <f t="shared" si="2"/>
        <v>1.4427847708432828</v>
      </c>
      <c r="I19" s="28">
        <f t="shared" si="3"/>
        <v>1.6664863231388861E-2</v>
      </c>
      <c r="J19" s="21">
        <f t="shared" si="4"/>
        <v>0.13331890585111089</v>
      </c>
      <c r="K19" s="15">
        <f t="shared" si="5"/>
        <v>2.1875</v>
      </c>
      <c r="L19" s="15">
        <f>E19*H19*(E19+0.5)</f>
        <v>98.10936441734323</v>
      </c>
      <c r="O19" s="79">
        <v>8</v>
      </c>
      <c r="P19" s="7">
        <f t="shared" si="19"/>
        <v>6.0900000000000003E-2</v>
      </c>
      <c r="Q19" s="13">
        <f t="shared" si="6"/>
        <v>2.1875</v>
      </c>
      <c r="R19" s="13">
        <f t="shared" si="7"/>
        <v>1.3631776795440003</v>
      </c>
      <c r="S19" s="28">
        <f t="shared" si="8"/>
        <v>2.0633770992543595E-2</v>
      </c>
      <c r="T19" s="21">
        <f t="shared" si="9"/>
        <v>0.16507016794034876</v>
      </c>
      <c r="U19" s="15">
        <f t="shared" si="10"/>
        <v>2.1875</v>
      </c>
      <c r="V19" s="15">
        <f t="shared" si="11"/>
        <v>92.696082208992024</v>
      </c>
      <c r="Y19" s="79">
        <v>8</v>
      </c>
      <c r="Z19" s="7">
        <f t="shared" si="12"/>
        <v>4.5900000000000003E-2</v>
      </c>
      <c r="AA19" s="13">
        <f t="shared" si="13"/>
        <v>2.1875</v>
      </c>
      <c r="AB19" s="13">
        <f t="shared" si="14"/>
        <v>1.5276601774061511</v>
      </c>
      <c r="AC19" s="28">
        <f t="shared" si="15"/>
        <v>1.2085459164343393E-2</v>
      </c>
      <c r="AD19" s="21">
        <f t="shared" si="16"/>
        <v>9.6683673314747143E-2</v>
      </c>
      <c r="AE19" s="15">
        <f t="shared" si="17"/>
        <v>2.1875</v>
      </c>
      <c r="AF19" s="15">
        <f t="shared" si="18"/>
        <v>103.88089206361828</v>
      </c>
    </row>
    <row r="20" spans="5:32" x14ac:dyDescent="0.25">
      <c r="E20" s="79">
        <v>8.5</v>
      </c>
      <c r="F20" s="8">
        <f t="shared" si="0"/>
        <v>5.3400000000000003E-2</v>
      </c>
      <c r="G20" s="80">
        <f t="shared" si="1"/>
        <v>2.1875</v>
      </c>
      <c r="H20" s="80">
        <f t="shared" si="2"/>
        <v>1.4057396431590972</v>
      </c>
      <c r="I20" s="28">
        <f t="shared" si="3"/>
        <v>1.623697405573208E-2</v>
      </c>
      <c r="J20" s="21">
        <f t="shared" si="4"/>
        <v>0.13801427947372269</v>
      </c>
      <c r="K20" s="15">
        <f t="shared" si="5"/>
        <v>2.0766090753749764</v>
      </c>
      <c r="L20" s="15">
        <f>E20*H20*(E20+0.5)</f>
        <v>107.53908270167094</v>
      </c>
      <c r="O20" s="79">
        <v>8.5</v>
      </c>
      <c r="P20" s="7">
        <f t="shared" si="19"/>
        <v>6.0900000000000003E-2</v>
      </c>
      <c r="Q20" s="13">
        <f t="shared" si="6"/>
        <v>2.1875</v>
      </c>
      <c r="R20" s="13">
        <f t="shared" si="7"/>
        <v>1.3234734752854371</v>
      </c>
      <c r="S20" s="28">
        <f t="shared" si="8"/>
        <v>2.0032787371401548E-2</v>
      </c>
      <c r="T20" s="21">
        <f t="shared" si="9"/>
        <v>0.17027869265691317</v>
      </c>
      <c r="U20" s="15">
        <f t="shared" si="10"/>
        <v>2.0619285512300873</v>
      </c>
      <c r="V20" s="15">
        <f t="shared" si="11"/>
        <v>101.24572085933593</v>
      </c>
      <c r="Y20" s="79">
        <v>8.5</v>
      </c>
      <c r="Z20" s="7">
        <f t="shared" si="12"/>
        <v>4.5900000000000003E-2</v>
      </c>
      <c r="AA20" s="13">
        <f t="shared" si="13"/>
        <v>2.1875</v>
      </c>
      <c r="AB20" s="13">
        <f t="shared" si="14"/>
        <v>1.4937629253823903</v>
      </c>
      <c r="AC20" s="28">
        <f t="shared" si="15"/>
        <v>1.181729490819829E-2</v>
      </c>
      <c r="AD20" s="21">
        <f t="shared" si="16"/>
        <v>0.10044700671968547</v>
      </c>
      <c r="AE20" s="15">
        <f t="shared" si="17"/>
        <v>2.0915001434171527</v>
      </c>
      <c r="AF20" s="15">
        <f t="shared" si="18"/>
        <v>114.27286379175287</v>
      </c>
    </row>
    <row r="21" spans="5:32" x14ac:dyDescent="0.25">
      <c r="E21" s="79">
        <v>9</v>
      </c>
      <c r="F21" s="8">
        <f t="shared" si="0"/>
        <v>5.3400000000000003E-2</v>
      </c>
      <c r="G21" s="80">
        <f t="shared" si="1"/>
        <v>2.1875</v>
      </c>
      <c r="H21" s="80">
        <f t="shared" si="2"/>
        <v>1.3696456909467278</v>
      </c>
      <c r="I21" s="28">
        <f t="shared" si="3"/>
        <v>1.582007141768451E-2</v>
      </c>
      <c r="J21" s="21">
        <f t="shared" si="4"/>
        <v>0.1423806427591606</v>
      </c>
      <c r="K21" s="15">
        <f t="shared" si="5"/>
        <v>1.971339543739298</v>
      </c>
      <c r="L21" s="15">
        <f>E21*H21*(E21+0.5)</f>
        <v>117.10470657594523</v>
      </c>
      <c r="O21" s="79">
        <v>9</v>
      </c>
      <c r="P21" s="7">
        <f t="shared" si="19"/>
        <v>6.0900000000000003E-2</v>
      </c>
      <c r="Q21" s="13">
        <f t="shared" si="6"/>
        <v>2.1875</v>
      </c>
      <c r="R21" s="13">
        <f t="shared" si="7"/>
        <v>1.2849257041606186</v>
      </c>
      <c r="S21" s="28">
        <f t="shared" si="8"/>
        <v>1.9449308127574318E-2</v>
      </c>
      <c r="T21" s="21">
        <f t="shared" si="9"/>
        <v>0.17504377314816885</v>
      </c>
      <c r="U21" s="15">
        <f t="shared" si="10"/>
        <v>1.9435654173155699</v>
      </c>
      <c r="V21" s="15">
        <f t="shared" si="11"/>
        <v>109.86114770573289</v>
      </c>
      <c r="Y21" s="79">
        <v>9</v>
      </c>
      <c r="Z21" s="7">
        <f t="shared" si="12"/>
        <v>4.5900000000000003E-2</v>
      </c>
      <c r="AA21" s="13">
        <f t="shared" si="13"/>
        <v>2.1875</v>
      </c>
      <c r="AB21" s="13">
        <f t="shared" si="14"/>
        <v>1.4606178194914916</v>
      </c>
      <c r="AC21" s="28">
        <f t="shared" si="15"/>
        <v>1.1555080948793759E-2</v>
      </c>
      <c r="AD21" s="21">
        <f t="shared" si="16"/>
        <v>0.10399572853914384</v>
      </c>
      <c r="AE21" s="15">
        <f t="shared" si="17"/>
        <v>1.9997133028178149</v>
      </c>
      <c r="AF21" s="15">
        <f t="shared" si="18"/>
        <v>124.88282356652255</v>
      </c>
    </row>
    <row r="22" spans="5:32" x14ac:dyDescent="0.25">
      <c r="E22" s="79">
        <v>9.5</v>
      </c>
      <c r="F22" s="8">
        <f t="shared" si="0"/>
        <v>5.3400000000000003E-2</v>
      </c>
      <c r="G22" s="80">
        <f t="shared" si="1"/>
        <v>2.1875</v>
      </c>
      <c r="H22" s="80">
        <f t="shared" si="2"/>
        <v>1.3344784917021999</v>
      </c>
      <c r="I22" s="28">
        <f t="shared" si="3"/>
        <v>1.5413873225490869E-2</v>
      </c>
      <c r="J22" s="21">
        <f t="shared" si="4"/>
        <v>0.14643179564216324</v>
      </c>
      <c r="K22" s="15">
        <f t="shared" si="5"/>
        <v>1.871406439851242</v>
      </c>
      <c r="L22" s="15">
        <f>E22*H22*(E22+0.5)</f>
        <v>126.77545671170898</v>
      </c>
      <c r="O22" s="79">
        <v>9.5</v>
      </c>
      <c r="P22" s="7">
        <f t="shared" si="19"/>
        <v>6.0900000000000003E-2</v>
      </c>
      <c r="Q22" s="13">
        <f t="shared" si="6"/>
        <v>2.1875</v>
      </c>
      <c r="R22" s="13">
        <f t="shared" si="7"/>
        <v>1.247500683651086</v>
      </c>
      <c r="S22" s="28">
        <f t="shared" si="8"/>
        <v>1.8882823424829435E-2</v>
      </c>
      <c r="T22" s="21">
        <f t="shared" si="9"/>
        <v>0.17938682253587965</v>
      </c>
      <c r="U22" s="15">
        <f t="shared" si="10"/>
        <v>1.8319968114954941</v>
      </c>
      <c r="V22" s="15">
        <f t="shared" si="11"/>
        <v>118.51256494685317</v>
      </c>
      <c r="Y22" s="79">
        <v>9.5</v>
      </c>
      <c r="Z22" s="7">
        <f t="shared" si="12"/>
        <v>4.5900000000000003E-2</v>
      </c>
      <c r="AA22" s="13">
        <f t="shared" si="13"/>
        <v>2.1875</v>
      </c>
      <c r="AB22" s="13">
        <f t="shared" si="14"/>
        <v>1.4282081703627403</v>
      </c>
      <c r="AC22" s="28">
        <f t="shared" si="15"/>
        <v>1.129868525499406E-2</v>
      </c>
      <c r="AD22" s="21">
        <f t="shared" si="16"/>
        <v>0.10733750992244356</v>
      </c>
      <c r="AE22" s="15">
        <f t="shared" si="17"/>
        <v>1.9119545872624675</v>
      </c>
      <c r="AF22" s="15">
        <f t="shared" si="18"/>
        <v>135.67977618446034</v>
      </c>
    </row>
    <row r="23" spans="5:32" x14ac:dyDescent="0.25">
      <c r="E23" s="79">
        <v>10</v>
      </c>
      <c r="F23" s="8">
        <f t="shared" si="0"/>
        <v>5.3400000000000003E-2</v>
      </c>
      <c r="G23" s="80">
        <f t="shared" si="1"/>
        <v>2.1875</v>
      </c>
      <c r="H23" s="80">
        <f t="shared" si="2"/>
        <v>1.3002142499968936</v>
      </c>
      <c r="I23" s="28">
        <f t="shared" si="3"/>
        <v>1.5018104630420076E-2</v>
      </c>
      <c r="J23" s="21">
        <f t="shared" si="4"/>
        <v>0.15018104630420076</v>
      </c>
      <c r="K23" s="15">
        <f t="shared" si="5"/>
        <v>1.776539244210406</v>
      </c>
      <c r="L23" s="15">
        <f>E23*H23*(E23+0.5)</f>
        <v>136.52249624967382</v>
      </c>
      <c r="O23" s="79">
        <v>10</v>
      </c>
      <c r="P23" s="7">
        <f t="shared" si="19"/>
        <v>6.0900000000000003E-2</v>
      </c>
      <c r="Q23" s="13">
        <f t="shared" si="6"/>
        <v>2.1875</v>
      </c>
      <c r="R23" s="13">
        <f t="shared" si="7"/>
        <v>1.2111657122826078</v>
      </c>
      <c r="S23" s="28">
        <f t="shared" si="8"/>
        <v>1.8332838276533432E-2</v>
      </c>
      <c r="T23" s="21">
        <f t="shared" si="9"/>
        <v>0.18332838276533431</v>
      </c>
      <c r="U23" s="15">
        <f t="shared" si="10"/>
        <v>1.7268327000617345</v>
      </c>
      <c r="V23" s="15">
        <f t="shared" si="11"/>
        <v>127.17239978967382</v>
      </c>
      <c r="Y23" s="79">
        <v>10</v>
      </c>
      <c r="Z23" s="7">
        <f t="shared" si="12"/>
        <v>4.5900000000000003E-2</v>
      </c>
      <c r="AA23" s="13">
        <f t="shared" si="13"/>
        <v>2.1875</v>
      </c>
      <c r="AB23" s="13">
        <f t="shared" si="14"/>
        <v>1.3965176589458759</v>
      </c>
      <c r="AC23" s="28">
        <f t="shared" si="15"/>
        <v>1.1047978725302381E-2</v>
      </c>
      <c r="AD23" s="21">
        <f t="shared" si="16"/>
        <v>0.11047978725302381</v>
      </c>
      <c r="AE23" s="15">
        <f t="shared" si="17"/>
        <v>1.8280472198704156</v>
      </c>
      <c r="AF23" s="15">
        <f t="shared" si="18"/>
        <v>146.63435418931698</v>
      </c>
    </row>
    <row r="24" spans="5:32" x14ac:dyDescent="0.25">
      <c r="E24" s="79">
        <v>10.5</v>
      </c>
      <c r="F24" s="8">
        <f t="shared" si="0"/>
        <v>5.3400000000000003E-2</v>
      </c>
      <c r="G24" s="80">
        <f t="shared" si="1"/>
        <v>2.1875</v>
      </c>
      <c r="H24" s="80">
        <f t="shared" si="2"/>
        <v>1.2668297813766851</v>
      </c>
      <c r="I24" s="28">
        <f t="shared" si="3"/>
        <v>1.4632497840792548E-2</v>
      </c>
      <c r="J24" s="21">
        <f t="shared" si="4"/>
        <v>0.15364122732832175</v>
      </c>
      <c r="K24" s="15">
        <f t="shared" si="5"/>
        <v>1.6864811507598316</v>
      </c>
      <c r="L24" s="15">
        <f>E24*H24*(E24+0.5)</f>
        <v>146.31883974900711</v>
      </c>
      <c r="O24" s="79">
        <v>10.5</v>
      </c>
      <c r="P24" s="7">
        <f t="shared" si="19"/>
        <v>6.3399999999999998E-2</v>
      </c>
      <c r="Q24" s="13">
        <f t="shared" si="6"/>
        <v>2.1875</v>
      </c>
      <c r="R24" s="13">
        <f t="shared" si="7"/>
        <v>1.1471842449926508</v>
      </c>
      <c r="S24" s="28">
        <f t="shared" si="8"/>
        <v>1.7364381292797087E-2</v>
      </c>
      <c r="T24" s="21">
        <f t="shared" si="9"/>
        <v>0.1823260035743694</v>
      </c>
      <c r="U24" s="15">
        <f t="shared" si="10"/>
        <v>1.6086619215484121</v>
      </c>
      <c r="V24" s="15">
        <f t="shared" si="11"/>
        <v>132.49978029665115</v>
      </c>
      <c r="Y24" s="79">
        <v>10.5</v>
      </c>
      <c r="Z24" s="7">
        <f t="shared" si="12"/>
        <v>4.3400000000000001E-2</v>
      </c>
      <c r="AA24" s="13">
        <f t="shared" si="13"/>
        <v>2.1875</v>
      </c>
      <c r="AB24" s="13">
        <f t="shared" si="14"/>
        <v>1.4002781807029652</v>
      </c>
      <c r="AC24" s="28">
        <f t="shared" si="15"/>
        <v>1.1077728556321144E-2</v>
      </c>
      <c r="AD24" s="21">
        <f t="shared" si="16"/>
        <v>0.11631614984137201</v>
      </c>
      <c r="AE24" s="15">
        <f t="shared" si="17"/>
        <v>1.7688617864265526</v>
      </c>
      <c r="AF24" s="15">
        <f t="shared" si="18"/>
        <v>161.73212987119246</v>
      </c>
    </row>
    <row r="25" spans="5:32" x14ac:dyDescent="0.25">
      <c r="E25" s="79">
        <v>11</v>
      </c>
      <c r="F25" s="8">
        <f t="shared" si="0"/>
        <v>5.3400000000000003E-2</v>
      </c>
      <c r="G25" s="80">
        <f t="shared" si="1"/>
        <v>2.1875</v>
      </c>
      <c r="H25" s="80">
        <f t="shared" si="2"/>
        <v>1.2343024966744767</v>
      </c>
      <c r="I25" s="28">
        <f t="shared" si="3"/>
        <v>1.4256791940782304E-2</v>
      </c>
      <c r="J25" s="21">
        <f t="shared" si="4"/>
        <v>0.15682471134860534</v>
      </c>
      <c r="K25" s="15">
        <f t="shared" si="5"/>
        <v>1.6009883717104911</v>
      </c>
      <c r="L25" s="15">
        <f>E25*H25*(E25+0.5)</f>
        <v>156.13926582932129</v>
      </c>
      <c r="O25" s="79">
        <v>11</v>
      </c>
      <c r="P25" s="7">
        <f t="shared" si="19"/>
        <v>6.3399999999999998E-2</v>
      </c>
      <c r="Q25" s="13">
        <f t="shared" si="6"/>
        <v>2.1875</v>
      </c>
      <c r="R25" s="13">
        <f t="shared" si="7"/>
        <v>1.1124611312887851</v>
      </c>
      <c r="S25" s="28">
        <f t="shared" si="8"/>
        <v>1.6838794065933686E-2</v>
      </c>
      <c r="T25" s="21">
        <f t="shared" si="9"/>
        <v>0.18522673472527054</v>
      </c>
      <c r="U25" s="15">
        <f t="shared" si="10"/>
        <v>1.5127533586123871</v>
      </c>
      <c r="V25" s="15">
        <f t="shared" si="11"/>
        <v>140.72633310803133</v>
      </c>
      <c r="Y25" s="79">
        <v>11</v>
      </c>
      <c r="Z25" s="7">
        <f t="shared" si="12"/>
        <v>4.3400000000000001E-2</v>
      </c>
      <c r="AA25" s="13">
        <f t="shared" si="13"/>
        <v>2.1875</v>
      </c>
      <c r="AB25" s="13">
        <f t="shared" si="14"/>
        <v>1.3708467458496172</v>
      </c>
      <c r="AC25" s="28">
        <f t="shared" si="15"/>
        <v>1.0844893787614855E-2</v>
      </c>
      <c r="AD25" s="21">
        <f t="shared" si="16"/>
        <v>0.11929383166376341</v>
      </c>
      <c r="AE25" s="15">
        <f t="shared" si="17"/>
        <v>1.6952863584689983</v>
      </c>
      <c r="AF25" s="15">
        <f t="shared" si="18"/>
        <v>173.41211334997658</v>
      </c>
    </row>
    <row r="26" spans="5:32" x14ac:dyDescent="0.25">
      <c r="E26" s="79">
        <v>11.5</v>
      </c>
      <c r="F26" s="8">
        <f t="shared" si="0"/>
        <v>5.3400000000000003E-2</v>
      </c>
      <c r="G26" s="80">
        <f t="shared" si="1"/>
        <v>2.1875</v>
      </c>
      <c r="H26" s="80">
        <f t="shared" si="2"/>
        <v>1.2026103867255413</v>
      </c>
      <c r="I26" s="28">
        <f t="shared" si="3"/>
        <v>1.3890732713871796E-2</v>
      </c>
      <c r="J26" s="21">
        <f t="shared" si="4"/>
        <v>0.15974342620952567</v>
      </c>
      <c r="K26" s="15">
        <f t="shared" si="5"/>
        <v>1.5198294776063148</v>
      </c>
      <c r="L26" s="15">
        <f>E26*H26*(E26+0.5)</f>
        <v>165.9602333681247</v>
      </c>
      <c r="O26" s="79">
        <v>11.5</v>
      </c>
      <c r="P26" s="7">
        <f t="shared" si="19"/>
        <v>6.3399999999999998E-2</v>
      </c>
      <c r="Q26" s="13">
        <f t="shared" si="6"/>
        <v>2.1875</v>
      </c>
      <c r="R26" s="13">
        <f t="shared" si="7"/>
        <v>1.0787890210575994</v>
      </c>
      <c r="S26" s="28">
        <f t="shared" si="8"/>
        <v>1.6329115377841916E-2</v>
      </c>
      <c r="T26" s="21">
        <f t="shared" si="9"/>
        <v>0.18778482684518202</v>
      </c>
      <c r="U26" s="15">
        <f t="shared" si="10"/>
        <v>1.4225628724961326</v>
      </c>
      <c r="V26" s="15">
        <f t="shared" si="11"/>
        <v>148.87288490594872</v>
      </c>
      <c r="Y26" s="79">
        <v>11.5</v>
      </c>
      <c r="Z26" s="7">
        <f t="shared" si="12"/>
        <v>4.3400000000000001E-2</v>
      </c>
      <c r="AA26" s="13">
        <f t="shared" si="13"/>
        <v>2.1875</v>
      </c>
      <c r="AB26" s="13">
        <f t="shared" si="14"/>
        <v>1.3420339090501869</v>
      </c>
      <c r="AC26" s="28">
        <f t="shared" si="15"/>
        <v>1.061695280460144E-2</v>
      </c>
      <c r="AD26" s="21">
        <f t="shared" si="16"/>
        <v>0.12209495725291655</v>
      </c>
      <c r="AE26" s="15">
        <f t="shared" si="17"/>
        <v>1.6247712847124764</v>
      </c>
      <c r="AF26" s="15">
        <f t="shared" si="18"/>
        <v>185.2006794489258</v>
      </c>
    </row>
    <row r="27" spans="5:32" x14ac:dyDescent="0.25">
      <c r="E27" s="79">
        <v>12</v>
      </c>
      <c r="F27" s="8">
        <f t="shared" si="0"/>
        <v>5.3400000000000003E-2</v>
      </c>
      <c r="G27" s="80">
        <f t="shared" si="1"/>
        <v>2.1875</v>
      </c>
      <c r="H27" s="80">
        <f t="shared" si="2"/>
        <v>1.1717320074752959</v>
      </c>
      <c r="I27" s="28">
        <f t="shared" si="3"/>
        <v>1.3534072470839476E-2</v>
      </c>
      <c r="J27" s="21">
        <f t="shared" si="4"/>
        <v>0.16240886965007373</v>
      </c>
      <c r="K27" s="15">
        <f t="shared" si="5"/>
        <v>1.4427847708432828</v>
      </c>
      <c r="L27" s="15">
        <f>E27*H27*(E27+0.5)</f>
        <v>175.7598011212944</v>
      </c>
      <c r="O27" s="79">
        <v>12</v>
      </c>
      <c r="P27" s="7">
        <f t="shared" si="19"/>
        <v>6.3399999999999998E-2</v>
      </c>
      <c r="Q27" s="13">
        <f t="shared" si="6"/>
        <v>2.1875</v>
      </c>
      <c r="R27" s="13">
        <f t="shared" si="7"/>
        <v>1.0461361023968265</v>
      </c>
      <c r="S27" s="28">
        <f t="shared" si="8"/>
        <v>1.5834863706915264E-2</v>
      </c>
      <c r="T27" s="21">
        <f t="shared" si="9"/>
        <v>0.19001836448298315</v>
      </c>
      <c r="U27" s="15">
        <f t="shared" si="10"/>
        <v>1.3377495509649546</v>
      </c>
      <c r="V27" s="15">
        <f t="shared" si="11"/>
        <v>156.92041535952396</v>
      </c>
      <c r="Y27" s="79">
        <v>12</v>
      </c>
      <c r="Z27" s="7">
        <f t="shared" si="12"/>
        <v>4.3400000000000001E-2</v>
      </c>
      <c r="AA27" s="13">
        <f t="shared" si="13"/>
        <v>2.1875</v>
      </c>
      <c r="AB27" s="13">
        <f t="shared" si="14"/>
        <v>1.3138266684393491</v>
      </c>
      <c r="AC27" s="28">
        <f t="shared" si="15"/>
        <v>1.0393802748337025E-2</v>
      </c>
      <c r="AD27" s="21">
        <f t="shared" si="16"/>
        <v>0.1247256329800443</v>
      </c>
      <c r="AE27" s="15">
        <f t="shared" si="17"/>
        <v>1.5571892703780681</v>
      </c>
      <c r="AF27" s="15">
        <f t="shared" si="18"/>
        <v>197.07400026590238</v>
      </c>
    </row>
    <row r="28" spans="5:32" x14ac:dyDescent="0.25">
      <c r="E28" s="79">
        <v>12.5</v>
      </c>
      <c r="F28" s="8">
        <f t="shared" si="0"/>
        <v>5.3400000000000003E-2</v>
      </c>
      <c r="G28" s="80">
        <f t="shared" si="1"/>
        <v>2.1875</v>
      </c>
      <c r="H28" s="80">
        <f t="shared" si="2"/>
        <v>1.1416464654694716</v>
      </c>
      <c r="I28" s="28">
        <f t="shared" si="3"/>
        <v>1.3186569882164227E-2</v>
      </c>
      <c r="J28" s="21">
        <f t="shared" si="4"/>
        <v>0.16483212352705284</v>
      </c>
      <c r="K28" s="15">
        <f t="shared" si="5"/>
        <v>1.3696456909467283</v>
      </c>
      <c r="L28" s="15">
        <f>E28*H28*(E28+0.5)</f>
        <v>185.51755063878912</v>
      </c>
      <c r="O28" s="79">
        <v>12.5</v>
      </c>
      <c r="P28" s="7">
        <f t="shared" si="19"/>
        <v>6.3399999999999998E-2</v>
      </c>
      <c r="Q28" s="13">
        <f t="shared" si="6"/>
        <v>2.1875</v>
      </c>
      <c r="R28" s="13">
        <f t="shared" si="7"/>
        <v>1.0144715262907649</v>
      </c>
      <c r="S28" s="28">
        <f t="shared" si="8"/>
        <v>1.5355572106302347E-2</v>
      </c>
      <c r="T28" s="21">
        <f t="shared" si="9"/>
        <v>0.19194465132877933</v>
      </c>
      <c r="U28" s="15">
        <f t="shared" si="10"/>
        <v>1.2579928070010857</v>
      </c>
      <c r="V28" s="15">
        <f t="shared" si="11"/>
        <v>164.8516230222493</v>
      </c>
      <c r="Y28" s="79">
        <v>12.5</v>
      </c>
      <c r="Z28" s="7">
        <f t="shared" si="12"/>
        <v>4.3400000000000001E-2</v>
      </c>
      <c r="AA28" s="13">
        <f t="shared" si="13"/>
        <v>2.1875</v>
      </c>
      <c r="AB28" s="13">
        <f t="shared" si="14"/>
        <v>1.2862122954285862</v>
      </c>
      <c r="AC28" s="28">
        <f t="shared" si="15"/>
        <v>1.0175342921795514E-2</v>
      </c>
      <c r="AD28" s="21">
        <f t="shared" si="16"/>
        <v>0.12719178652244392</v>
      </c>
      <c r="AE28" s="15">
        <f t="shared" si="17"/>
        <v>1.4924183154859767</v>
      </c>
      <c r="AF28" s="15">
        <f t="shared" si="18"/>
        <v>209.00949800714528</v>
      </c>
    </row>
    <row r="29" spans="5:32" x14ac:dyDescent="0.25">
      <c r="E29" s="79">
        <v>13</v>
      </c>
      <c r="F29" s="8">
        <f t="shared" si="0"/>
        <v>5.3400000000000003E-2</v>
      </c>
      <c r="G29" s="80">
        <f t="shared" si="1"/>
        <v>2.1875</v>
      </c>
      <c r="H29" s="80">
        <f t="shared" si="2"/>
        <v>1.112333403716818</v>
      </c>
      <c r="I29" s="28">
        <f t="shared" si="3"/>
        <v>1.2847989814732749E-2</v>
      </c>
      <c r="J29" s="21">
        <f t="shared" si="4"/>
        <v>0.16702386759152574</v>
      </c>
      <c r="K29" s="15">
        <f t="shared" si="5"/>
        <v>1.3002142499968936</v>
      </c>
      <c r="L29" s="15">
        <f>E29*H29*(E29+0.5)</f>
        <v>195.21451235230157</v>
      </c>
      <c r="O29" s="87">
        <v>13</v>
      </c>
      <c r="P29" s="41">
        <f t="shared" si="19"/>
        <v>6.59E-2</v>
      </c>
      <c r="Q29" s="44">
        <f t="shared" si="6"/>
        <v>2.1875</v>
      </c>
      <c r="R29" s="44">
        <f t="shared" si="7"/>
        <v>0.95418822513144474</v>
      </c>
      <c r="S29" s="36">
        <f t="shared" si="8"/>
        <v>1.4443092501140356E-2</v>
      </c>
      <c r="T29" s="37">
        <f t="shared" si="9"/>
        <v>0.18776020251482461</v>
      </c>
      <c r="U29" s="40">
        <f t="shared" si="10"/>
        <v>1.1555358919910192</v>
      </c>
      <c r="V29" s="40">
        <f t="shared" si="11"/>
        <v>167.46003351056854</v>
      </c>
      <c r="Y29" s="79">
        <v>13</v>
      </c>
      <c r="Z29" s="7">
        <f t="shared" si="12"/>
        <v>4.0900000000000006E-2</v>
      </c>
      <c r="AA29" s="13">
        <f t="shared" si="13"/>
        <v>2.1875</v>
      </c>
      <c r="AB29" s="13">
        <f t="shared" si="14"/>
        <v>1.2990652056565466</v>
      </c>
      <c r="AC29" s="28">
        <f t="shared" si="15"/>
        <v>1.0277023468294233E-2</v>
      </c>
      <c r="AD29" s="21">
        <f t="shared" si="16"/>
        <v>0.13360130508782503</v>
      </c>
      <c r="AE29" s="15">
        <f t="shared" si="17"/>
        <v>1.4650686535416346</v>
      </c>
      <c r="AF29" s="15">
        <f t="shared" si="18"/>
        <v>227.98594359272391</v>
      </c>
    </row>
    <row r="30" spans="5:32" x14ac:dyDescent="0.25">
      <c r="E30" s="79">
        <v>13.5</v>
      </c>
      <c r="F30" s="8">
        <f t="shared" si="0"/>
        <v>5.3400000000000003E-2</v>
      </c>
      <c r="G30" s="80">
        <f t="shared" si="1"/>
        <v>2.1875</v>
      </c>
      <c r="H30" s="80">
        <f t="shared" si="2"/>
        <v>1.0837729879148204</v>
      </c>
      <c r="I30" s="28">
        <f t="shared" si="3"/>
        <v>1.2518103172739917E-2</v>
      </c>
      <c r="J30" s="21">
        <f t="shared" si="4"/>
        <v>0.16899439283198889</v>
      </c>
      <c r="K30" s="15">
        <f t="shared" si="5"/>
        <v>1.2343024966744773</v>
      </c>
      <c r="L30" s="15">
        <f>E30*H30*(E30+0.5)</f>
        <v>204.83309471590104</v>
      </c>
      <c r="O30" s="79">
        <v>13.5</v>
      </c>
      <c r="P30" s="7">
        <f t="shared" si="19"/>
        <v>6.59E-2</v>
      </c>
      <c r="Q30" s="13">
        <f t="shared" si="6"/>
        <v>2.1875</v>
      </c>
      <c r="R30" s="13">
        <f t="shared" si="7"/>
        <v>0.92422097788746127</v>
      </c>
      <c r="S30" s="28">
        <f t="shared" si="8"/>
        <v>1.3989492558749771E-2</v>
      </c>
      <c r="T30" s="21">
        <f t="shared" si="9"/>
        <v>0.18885814954312191</v>
      </c>
      <c r="U30" s="15"/>
      <c r="V30" s="15">
        <f t="shared" si="11"/>
        <v>174.6777648207302</v>
      </c>
      <c r="Y30" s="79">
        <v>13.5</v>
      </c>
      <c r="Z30" s="7">
        <f t="shared" si="12"/>
        <v>4.0900000000000006E-2</v>
      </c>
      <c r="AA30" s="13">
        <f t="shared" si="13"/>
        <v>2.1875</v>
      </c>
      <c r="AB30" s="13">
        <f t="shared" si="14"/>
        <v>1.2732874146020465</v>
      </c>
      <c r="AC30" s="28">
        <f t="shared" si="15"/>
        <v>1.0073093009319318E-2</v>
      </c>
      <c r="AD30" s="21">
        <f t="shared" si="16"/>
        <v>0.13598675562581078</v>
      </c>
      <c r="AE30" s="15">
        <f t="shared" si="17"/>
        <v>1.4075018287459271</v>
      </c>
      <c r="AF30" s="15">
        <f t="shared" si="18"/>
        <v>240.65132135978681</v>
      </c>
    </row>
    <row r="31" spans="5:32" x14ac:dyDescent="0.25">
      <c r="E31" s="79">
        <v>14</v>
      </c>
      <c r="F31" s="8">
        <f t="shared" si="0"/>
        <v>5.3400000000000003E-2</v>
      </c>
      <c r="G31" s="80">
        <f t="shared" si="1"/>
        <v>2.1875</v>
      </c>
      <c r="H31" s="80">
        <f t="shared" si="2"/>
        <v>1.0559458930290659</v>
      </c>
      <c r="I31" s="28">
        <f t="shared" si="3"/>
        <v>1.2196686742673961E-2</v>
      </c>
      <c r="J31" s="21">
        <f t="shared" si="4"/>
        <v>0.17075361439743544</v>
      </c>
      <c r="K31" s="15">
        <f t="shared" si="5"/>
        <v>1.1717320074752959</v>
      </c>
      <c r="L31" s="15">
        <f>E31*H31*(E31+0.5)</f>
        <v>214.35701628490037</v>
      </c>
      <c r="O31" s="79">
        <v>14</v>
      </c>
      <c r="P31" s="7">
        <f t="shared" si="19"/>
        <v>6.59E-2</v>
      </c>
      <c r="Q31" s="13">
        <f t="shared" si="6"/>
        <v>2.1875</v>
      </c>
      <c r="R31" s="13">
        <f t="shared" si="7"/>
        <v>0.89519488238244183</v>
      </c>
      <c r="S31" s="28">
        <f t="shared" si="8"/>
        <v>1.3550138381780989E-2</v>
      </c>
      <c r="T31" s="21">
        <f t="shared" si="9"/>
        <v>0.18970193734493385</v>
      </c>
      <c r="U31" s="15"/>
      <c r="V31" s="15">
        <f t="shared" si="11"/>
        <v>181.72456112363568</v>
      </c>
      <c r="Y31" s="79">
        <v>14</v>
      </c>
      <c r="Z31" s="7">
        <f t="shared" si="12"/>
        <v>4.0900000000000006E-2</v>
      </c>
      <c r="AA31" s="13">
        <f t="shared" si="13"/>
        <v>2.1875</v>
      </c>
      <c r="AB31" s="13">
        <f t="shared" si="14"/>
        <v>1.2480211409900532</v>
      </c>
      <c r="AC31" s="28">
        <f t="shared" si="15"/>
        <v>9.8732092115421579E-3</v>
      </c>
      <c r="AD31" s="21">
        <f t="shared" si="16"/>
        <v>0.13822492896159022</v>
      </c>
      <c r="AE31" s="15">
        <f t="shared" si="17"/>
        <v>1.3521969725678991</v>
      </c>
      <c r="AF31" s="15">
        <f t="shared" si="18"/>
        <v>253.3482916209808</v>
      </c>
    </row>
    <row r="32" spans="5:32" x14ac:dyDescent="0.25">
      <c r="E32" s="79">
        <v>14.5</v>
      </c>
      <c r="F32" s="8">
        <f t="shared" si="0"/>
        <v>5.3400000000000003E-2</v>
      </c>
      <c r="G32" s="80">
        <f t="shared" si="1"/>
        <v>2.1875</v>
      </c>
      <c r="H32" s="80">
        <f t="shared" si="2"/>
        <v>1.0288332902172208</v>
      </c>
      <c r="I32" s="28">
        <f t="shared" si="3"/>
        <v>1.1883523042282056E-2</v>
      </c>
      <c r="J32" s="21">
        <f t="shared" si="4"/>
        <v>0.17231108411308982</v>
      </c>
      <c r="K32" s="15">
        <f t="shared" si="5"/>
        <v>1.1123334037168184</v>
      </c>
      <c r="L32" s="15">
        <f>E32*H32*(E32+0.5)</f>
        <v>223.77124062224553</v>
      </c>
      <c r="O32" s="79">
        <v>14.5</v>
      </c>
      <c r="P32" s="7">
        <f t="shared" si="19"/>
        <v>6.59E-2</v>
      </c>
      <c r="Q32" s="13">
        <f t="shared" si="6"/>
        <v>2.1875</v>
      </c>
      <c r="R32" s="13">
        <f t="shared" si="7"/>
        <v>0.86708038079318983</v>
      </c>
      <c r="S32" s="28">
        <f t="shared" si="8"/>
        <v>1.3124582567548332E-2</v>
      </c>
      <c r="T32" s="21">
        <f t="shared" si="9"/>
        <v>0.19030644722945081</v>
      </c>
      <c r="U32" s="15"/>
      <c r="V32" s="15">
        <f t="shared" si="11"/>
        <v>188.58998282251878</v>
      </c>
      <c r="Y32" s="79">
        <v>14.5</v>
      </c>
      <c r="Z32" s="7">
        <f t="shared" si="12"/>
        <v>4.0900000000000006E-2</v>
      </c>
      <c r="AA32" s="13">
        <f t="shared" si="13"/>
        <v>2.1875</v>
      </c>
      <c r="AB32" s="13">
        <f t="shared" si="14"/>
        <v>1.2232562346066351</v>
      </c>
      <c r="AC32" s="28">
        <f t="shared" si="15"/>
        <v>9.677291775693455E-3</v>
      </c>
      <c r="AD32" s="21">
        <f t="shared" si="16"/>
        <v>0.14032073074755511</v>
      </c>
      <c r="AE32" s="15">
        <f t="shared" si="17"/>
        <v>1.2990652056565475</v>
      </c>
      <c r="AF32" s="15">
        <f t="shared" si="18"/>
        <v>266.05823102694313</v>
      </c>
    </row>
    <row r="33" spans="5:32" x14ac:dyDescent="0.25">
      <c r="E33" s="79">
        <v>15</v>
      </c>
      <c r="F33" s="8">
        <f t="shared" si="0"/>
        <v>5.3400000000000003E-2</v>
      </c>
      <c r="G33" s="80">
        <f t="shared" si="1"/>
        <v>2.1875</v>
      </c>
      <c r="H33" s="80">
        <f t="shared" si="2"/>
        <v>1.0024168340887281</v>
      </c>
      <c r="I33" s="28">
        <f t="shared" si="3"/>
        <v>1.1578400173413673E-2</v>
      </c>
      <c r="J33" s="21">
        <f t="shared" si="4"/>
        <v>0.17367600260120511</v>
      </c>
      <c r="K33" s="15">
        <f t="shared" si="5"/>
        <v>1.0559458930290659</v>
      </c>
      <c r="L33" s="15">
        <f>E33*H33*(E33+0.5)</f>
        <v>233.06191392562928</v>
      </c>
      <c r="O33" s="79">
        <v>15</v>
      </c>
      <c r="P33" s="7">
        <f t="shared" si="19"/>
        <v>6.59E-2</v>
      </c>
      <c r="Q33" s="13">
        <f t="shared" si="6"/>
        <v>2.1875</v>
      </c>
      <c r="R33" s="13">
        <f t="shared" si="7"/>
        <v>0.83984884358986955</v>
      </c>
      <c r="S33" s="28">
        <f t="shared" si="8"/>
        <v>1.2712391764500413E-2</v>
      </c>
      <c r="T33" s="21">
        <f t="shared" si="9"/>
        <v>0.19068587646750618</v>
      </c>
      <c r="U33" s="15"/>
      <c r="V33" s="15">
        <f t="shared" si="11"/>
        <v>195.26485613464467</v>
      </c>
      <c r="Y33" s="79">
        <v>15</v>
      </c>
      <c r="Z33" s="7">
        <f t="shared" si="12"/>
        <v>4.0900000000000006E-2</v>
      </c>
      <c r="AA33" s="13">
        <f t="shared" si="13"/>
        <v>2.1875</v>
      </c>
      <c r="AB33" s="13">
        <f t="shared" si="14"/>
        <v>1.1989827466519873</v>
      </c>
      <c r="AC33" s="28">
        <f t="shared" si="15"/>
        <v>9.4852619959094626E-3</v>
      </c>
      <c r="AD33" s="21">
        <f t="shared" si="16"/>
        <v>0.14227892993864194</v>
      </c>
      <c r="AE33" s="15">
        <f t="shared" si="17"/>
        <v>1.2480211409900535</v>
      </c>
      <c r="AF33" s="15">
        <f t="shared" si="18"/>
        <v>278.76348859658708</v>
      </c>
    </row>
    <row r="34" spans="5:32" x14ac:dyDescent="0.25">
      <c r="E34" s="79">
        <v>15.5</v>
      </c>
      <c r="F34" s="8">
        <f t="shared" si="0"/>
        <v>5.3400000000000003E-2</v>
      </c>
      <c r="G34" s="80">
        <f t="shared" si="1"/>
        <v>2.1875</v>
      </c>
      <c r="H34" s="80">
        <f t="shared" si="2"/>
        <v>0.97667865029164713</v>
      </c>
      <c r="I34" s="28">
        <f t="shared" si="3"/>
        <v>1.1281111678642547E-2</v>
      </c>
      <c r="J34" s="21">
        <f t="shared" si="4"/>
        <v>0.17485723101895947</v>
      </c>
      <c r="K34" s="15">
        <f t="shared" si="5"/>
        <v>1.0024168340887287</v>
      </c>
      <c r="L34" s="15">
        <f>E34*H34*(E34+0.5)</f>
        <v>242.2163052723285</v>
      </c>
      <c r="O34" s="79">
        <v>15.5</v>
      </c>
      <c r="P34" s="7">
        <f t="shared" si="19"/>
        <v>6.8400000000000002E-2</v>
      </c>
      <c r="Q34" s="13">
        <f t="shared" si="6"/>
        <v>2.1875</v>
      </c>
      <c r="R34" s="13">
        <f t="shared" si="7"/>
        <v>0.78446384411218573</v>
      </c>
      <c r="S34" s="28">
        <f t="shared" si="8"/>
        <v>1.1874055417893744E-2</v>
      </c>
      <c r="T34" s="21">
        <f t="shared" si="9"/>
        <v>0.18404785897735301</v>
      </c>
      <c r="U34" s="15"/>
      <c r="V34" s="15">
        <f t="shared" si="11"/>
        <v>194.54703333982206</v>
      </c>
      <c r="Y34" s="79">
        <v>15.5</v>
      </c>
      <c r="Z34" s="7">
        <f t="shared" si="12"/>
        <v>3.8400000000000004E-2</v>
      </c>
      <c r="AA34" s="13">
        <f t="shared" si="13"/>
        <v>2.1875</v>
      </c>
      <c r="AB34" s="13">
        <f t="shared" si="14"/>
        <v>1.2198193832276241</v>
      </c>
      <c r="AC34" s="28">
        <f t="shared" si="15"/>
        <v>9.6501025305921785E-3</v>
      </c>
      <c r="AD34" s="21">
        <f t="shared" si="16"/>
        <v>0.14957658922417877</v>
      </c>
      <c r="AE34" s="15">
        <f t="shared" si="17"/>
        <v>1.243019294251468</v>
      </c>
      <c r="AF34" s="15">
        <f t="shared" si="18"/>
        <v>302.51520704045078</v>
      </c>
    </row>
    <row r="35" spans="5:32" x14ac:dyDescent="0.25">
      <c r="E35" s="87">
        <v>16</v>
      </c>
      <c r="F35" s="88">
        <f t="shared" si="0"/>
        <v>5.3400000000000003E-2</v>
      </c>
      <c r="G35" s="90">
        <f t="shared" si="1"/>
        <v>2.1875</v>
      </c>
      <c r="H35" s="90">
        <f t="shared" si="2"/>
        <v>0.95160132341819625</v>
      </c>
      <c r="I35" s="36">
        <f t="shared" si="3"/>
        <v>1.0991456401569842E-2</v>
      </c>
      <c r="J35" s="37">
        <f t="shared" si="4"/>
        <v>0.17586330242511747</v>
      </c>
      <c r="K35" s="40">
        <f>H35*(1+F35)^(E$35-E35)</f>
        <v>0.95160132341819625</v>
      </c>
      <c r="L35" s="40">
        <f>E35*H35*(E35+0.5)</f>
        <v>251.2227493824038</v>
      </c>
      <c r="O35" s="79">
        <v>16</v>
      </c>
      <c r="P35" s="7">
        <f t="shared" si="19"/>
        <v>6.8400000000000002E-2</v>
      </c>
      <c r="Q35" s="13">
        <f t="shared" si="6"/>
        <v>2.1875</v>
      </c>
      <c r="R35" s="13">
        <f t="shared" si="7"/>
        <v>0.75893746460242018</v>
      </c>
      <c r="S35" s="28">
        <f t="shared" si="8"/>
        <v>1.1487674774359843E-2</v>
      </c>
      <c r="T35" s="21">
        <f t="shared" si="9"/>
        <v>0.18380279638975749</v>
      </c>
      <c r="U35" s="15"/>
      <c r="V35" s="15">
        <f t="shared" si="11"/>
        <v>200.35949065503894</v>
      </c>
      <c r="Y35" s="79">
        <v>16</v>
      </c>
      <c r="Z35" s="7">
        <f t="shared" si="12"/>
        <v>3.8400000000000004E-2</v>
      </c>
      <c r="AA35" s="13">
        <f t="shared" si="13"/>
        <v>2.1875</v>
      </c>
      <c r="AB35" s="13">
        <f t="shared" si="14"/>
        <v>1.1970524790557291</v>
      </c>
      <c r="AC35" s="28">
        <f t="shared" si="15"/>
        <v>9.469991472689801E-3</v>
      </c>
      <c r="AD35" s="21">
        <f t="shared" si="16"/>
        <v>0.15151986356303682</v>
      </c>
      <c r="AE35" s="15">
        <f t="shared" si="17"/>
        <v>1.1970524790557291</v>
      </c>
      <c r="AF35" s="15">
        <f t="shared" si="18"/>
        <v>316.02185447071247</v>
      </c>
    </row>
    <row r="36" spans="5:32" x14ac:dyDescent="0.25">
      <c r="E36" s="79">
        <v>16.5</v>
      </c>
      <c r="F36" s="8">
        <f t="shared" si="0"/>
        <v>5.3400000000000003E-2</v>
      </c>
      <c r="G36" s="80">
        <f t="shared" si="1"/>
        <v>2.1875</v>
      </c>
      <c r="H36" s="80">
        <f t="shared" si="2"/>
        <v>0.92716788522085336</v>
      </c>
      <c r="I36" s="28">
        <f t="shared" si="3"/>
        <v>1.0709238350714396E-2</v>
      </c>
      <c r="J36" s="21">
        <f t="shared" si="4"/>
        <v>0.17670243278678754</v>
      </c>
      <c r="K36" s="6"/>
      <c r="L36" s="15">
        <f>E36*H36*(E36+0.5)</f>
        <v>260.07059180444935</v>
      </c>
      <c r="O36" s="79">
        <v>16.5</v>
      </c>
      <c r="P36" s="7">
        <f t="shared" si="19"/>
        <v>6.8400000000000002E-2</v>
      </c>
      <c r="Q36" s="13">
        <f t="shared" si="6"/>
        <v>2.1875</v>
      </c>
      <c r="R36" s="13">
        <f t="shared" si="7"/>
        <v>0.73424171107467784</v>
      </c>
      <c r="S36" s="28">
        <f t="shared" si="8"/>
        <v>1.1113866920529524E-2</v>
      </c>
      <c r="T36" s="21">
        <f t="shared" si="9"/>
        <v>0.18337880418873714</v>
      </c>
      <c r="U36" s="6"/>
      <c r="V36" s="15">
        <f t="shared" si="11"/>
        <v>205.95479995644712</v>
      </c>
      <c r="Y36" s="79">
        <v>16.5</v>
      </c>
      <c r="Z36" s="7">
        <f t="shared" si="12"/>
        <v>3.8400000000000004E-2</v>
      </c>
      <c r="AA36" s="13">
        <f t="shared" si="13"/>
        <v>2.1875</v>
      </c>
      <c r="AB36" s="13">
        <f t="shared" si="14"/>
        <v>1.1747105000266025</v>
      </c>
      <c r="AC36" s="28">
        <f t="shared" si="15"/>
        <v>9.2932420363946253E-3</v>
      </c>
      <c r="AD36" s="21">
        <f t="shared" si="16"/>
        <v>0.15333849360051133</v>
      </c>
      <c r="AE36" s="15">
        <f t="shared" si="17"/>
        <v>1.1527855152693838</v>
      </c>
      <c r="AF36" s="15">
        <f t="shared" si="18"/>
        <v>329.50629525746206</v>
      </c>
    </row>
    <row r="37" spans="5:32" x14ac:dyDescent="0.25">
      <c r="E37" s="79">
        <v>17</v>
      </c>
      <c r="F37" s="8">
        <f t="shared" si="0"/>
        <v>5.3400000000000003E-2</v>
      </c>
      <c r="G37" s="80">
        <f t="shared" si="1"/>
        <v>2.1875</v>
      </c>
      <c r="H37" s="80">
        <f t="shared" si="2"/>
        <v>0.9033618031310009</v>
      </c>
      <c r="I37" s="28">
        <f t="shared" si="3"/>
        <v>1.0434266566897514E-2</v>
      </c>
      <c r="J37" s="21">
        <f t="shared" si="4"/>
        <v>0.17738253163725776</v>
      </c>
      <c r="K37" s="6"/>
      <c r="L37" s="15">
        <f>E37*H37*(E37+0.5)</f>
        <v>268.75013643147275</v>
      </c>
      <c r="O37" s="79">
        <v>17</v>
      </c>
      <c r="P37" s="7">
        <f t="shared" si="19"/>
        <v>6.8400000000000002E-2</v>
      </c>
      <c r="Q37" s="13">
        <f t="shared" si="6"/>
        <v>2.1875</v>
      </c>
      <c r="R37" s="13">
        <f t="shared" si="7"/>
        <v>0.71034955503783237</v>
      </c>
      <c r="S37" s="28">
        <f t="shared" si="8"/>
        <v>1.0752222739011458E-2</v>
      </c>
      <c r="T37" s="21">
        <f t="shared" si="9"/>
        <v>0.1827877865631948</v>
      </c>
      <c r="U37" s="6"/>
      <c r="V37" s="15">
        <f t="shared" si="11"/>
        <v>211.32899262375511</v>
      </c>
      <c r="Y37" s="79">
        <v>17</v>
      </c>
      <c r="Z37" s="7">
        <f t="shared" si="12"/>
        <v>3.8400000000000004E-2</v>
      </c>
      <c r="AA37" s="13">
        <f t="shared" si="13"/>
        <v>2.1875</v>
      </c>
      <c r="AB37" s="13">
        <f t="shared" si="14"/>
        <v>1.1527855152693847</v>
      </c>
      <c r="AC37" s="28">
        <f t="shared" si="15"/>
        <v>9.1197914798630594E-3</v>
      </c>
      <c r="AD37" s="21">
        <f t="shared" si="16"/>
        <v>0.155036455157672</v>
      </c>
      <c r="AE37" s="15">
        <f t="shared" si="17"/>
        <v>1.1101555424397003</v>
      </c>
      <c r="AF37" s="15">
        <f t="shared" si="18"/>
        <v>342.95369079264196</v>
      </c>
    </row>
    <row r="38" spans="5:32" x14ac:dyDescent="0.25">
      <c r="E38" s="79">
        <v>17.5</v>
      </c>
      <c r="F38" s="8">
        <f t="shared" si="0"/>
        <v>5.3400000000000003E-2</v>
      </c>
      <c r="G38" s="80">
        <f t="shared" si="1"/>
        <v>2.1875</v>
      </c>
      <c r="H38" s="80">
        <f t="shared" si="2"/>
        <v>0.88016696907238812</v>
      </c>
      <c r="I38" s="28">
        <f t="shared" si="3"/>
        <v>1.0166354994033035E-2</v>
      </c>
      <c r="J38" s="21">
        <f t="shared" si="4"/>
        <v>0.17791121239557811</v>
      </c>
      <c r="K38" s="6"/>
      <c r="L38" s="15">
        <f>E38*H38*(E38+0.5)</f>
        <v>277.25259525780223</v>
      </c>
      <c r="O38" s="79">
        <v>17.5</v>
      </c>
      <c r="P38" s="7">
        <f t="shared" si="19"/>
        <v>6.8400000000000002E-2</v>
      </c>
      <c r="Q38" s="13">
        <f t="shared" si="6"/>
        <v>2.1875</v>
      </c>
      <c r="R38" s="13">
        <f t="shared" si="7"/>
        <v>0.68723484750531427</v>
      </c>
      <c r="S38" s="28">
        <f t="shared" si="8"/>
        <v>1.0402346425055713E-2</v>
      </c>
      <c r="T38" s="21">
        <f t="shared" si="9"/>
        <v>0.18204106243847498</v>
      </c>
      <c r="U38" s="6"/>
      <c r="V38" s="15">
        <f t="shared" si="11"/>
        <v>216.478976964174</v>
      </c>
      <c r="Y38" s="79">
        <v>17.5</v>
      </c>
      <c r="Z38" s="7">
        <f t="shared" si="12"/>
        <v>3.8400000000000004E-2</v>
      </c>
      <c r="AA38" s="13">
        <f t="shared" si="13"/>
        <v>2.1875</v>
      </c>
      <c r="AB38" s="13">
        <f t="shared" si="14"/>
        <v>1.1312697419362505</v>
      </c>
      <c r="AC38" s="28">
        <f t="shared" si="15"/>
        <v>8.949578232275256E-3</v>
      </c>
      <c r="AD38" s="21">
        <f t="shared" si="16"/>
        <v>0.15661761906481697</v>
      </c>
      <c r="AE38" s="15">
        <f t="shared" si="17"/>
        <v>1.0691020246915441</v>
      </c>
      <c r="AF38" s="15">
        <f t="shared" si="18"/>
        <v>356.34996870991893</v>
      </c>
    </row>
    <row r="39" spans="5:32" x14ac:dyDescent="0.25">
      <c r="E39" s="79">
        <v>18</v>
      </c>
      <c r="F39" s="8">
        <f t="shared" si="0"/>
        <v>5.3400000000000003E-2</v>
      </c>
      <c r="G39" s="80">
        <f t="shared" si="1"/>
        <v>2.1875</v>
      </c>
      <c r="H39" s="80">
        <f t="shared" si="2"/>
        <v>0.85756768856180088</v>
      </c>
      <c r="I39" s="28">
        <f t="shared" si="3"/>
        <v>9.9053223532347794E-3</v>
      </c>
      <c r="J39" s="21">
        <f t="shared" si="4"/>
        <v>0.17829580235822604</v>
      </c>
      <c r="K39" s="6"/>
      <c r="L39" s="15">
        <f>E39*H39*(E39+0.5)</f>
        <v>285.57004029107969</v>
      </c>
      <c r="O39" s="79">
        <v>18</v>
      </c>
      <c r="P39" s="7">
        <f t="shared" si="19"/>
        <v>7.0900000000000005E-2</v>
      </c>
      <c r="Q39" s="13">
        <f t="shared" si="6"/>
        <v>2.1875</v>
      </c>
      <c r="R39" s="13">
        <f t="shared" si="7"/>
        <v>0.63748141431206806</v>
      </c>
      <c r="S39" s="28">
        <f t="shared" si="8"/>
        <v>9.6492524139025447E-3</v>
      </c>
      <c r="T39" s="21">
        <f t="shared" si="9"/>
        <v>0.17368654345024581</v>
      </c>
      <c r="U39" s="6"/>
      <c r="V39" s="15">
        <f t="shared" si="11"/>
        <v>212.28131096591866</v>
      </c>
      <c r="Y39" s="79">
        <v>18</v>
      </c>
      <c r="Z39" s="7">
        <f t="shared" si="12"/>
        <v>3.5900000000000001E-2</v>
      </c>
      <c r="AA39" s="13">
        <f t="shared" si="13"/>
        <v>2.1875</v>
      </c>
      <c r="AB39" s="13">
        <f t="shared" si="14"/>
        <v>1.1593833695136087</v>
      </c>
      <c r="AC39" s="28">
        <f t="shared" si="15"/>
        <v>9.1719877072833789E-3</v>
      </c>
      <c r="AD39" s="21">
        <f t="shared" si="16"/>
        <v>0.16509577873110082</v>
      </c>
      <c r="AE39" s="15">
        <f t="shared" si="17"/>
        <v>1.0804169782681907</v>
      </c>
      <c r="AF39" s="15">
        <f t="shared" si="18"/>
        <v>386.07466204803171</v>
      </c>
    </row>
    <row r="40" spans="5:32" x14ac:dyDescent="0.25">
      <c r="E40" s="79">
        <v>18.5</v>
      </c>
      <c r="F40" s="8">
        <f t="shared" si="0"/>
        <v>5.3400000000000003E-2</v>
      </c>
      <c r="G40" s="80">
        <f t="shared" si="1"/>
        <v>2.1875</v>
      </c>
      <c r="H40" s="80">
        <f t="shared" si="2"/>
        <v>0.83554867008960332</v>
      </c>
      <c r="I40" s="28">
        <f t="shared" si="3"/>
        <v>9.6509920201566686E-3</v>
      </c>
      <c r="J40" s="21">
        <f t="shared" si="4"/>
        <v>0.17854335237289837</v>
      </c>
      <c r="K40" s="6"/>
      <c r="L40" s="15">
        <f>E40*H40*(E40+0.5)</f>
        <v>293.69535753649558</v>
      </c>
      <c r="O40" s="79">
        <v>18.5</v>
      </c>
      <c r="P40" s="7">
        <f t="shared" si="19"/>
        <v>7.0900000000000005E-2</v>
      </c>
      <c r="Q40" s="13">
        <f t="shared" si="6"/>
        <v>2.1875</v>
      </c>
      <c r="R40" s="13">
        <f t="shared" si="7"/>
        <v>0.61601752596764192</v>
      </c>
      <c r="S40" s="28">
        <f t="shared" si="8"/>
        <v>9.3243637633954705E-3</v>
      </c>
      <c r="T40" s="21">
        <f t="shared" si="9"/>
        <v>0.17250072962281621</v>
      </c>
      <c r="U40" s="6"/>
      <c r="V40" s="15">
        <f t="shared" si="11"/>
        <v>216.53016037762615</v>
      </c>
      <c r="Y40" s="79">
        <v>18.5</v>
      </c>
      <c r="Z40" s="7">
        <f t="shared" si="12"/>
        <v>3.5900000000000001E-2</v>
      </c>
      <c r="AA40" s="13">
        <f t="shared" si="13"/>
        <v>2.1875</v>
      </c>
      <c r="AB40" s="13">
        <f t="shared" si="14"/>
        <v>1.1391165191319998</v>
      </c>
      <c r="AC40" s="28">
        <f t="shared" si="15"/>
        <v>9.0116548032126136E-3</v>
      </c>
      <c r="AD40" s="21">
        <f t="shared" si="16"/>
        <v>0.16671561385943334</v>
      </c>
      <c r="AE40" s="15">
        <f t="shared" si="17"/>
        <v>1.0429742043326475</v>
      </c>
      <c r="AF40" s="15">
        <f t="shared" si="18"/>
        <v>400.39945647489793</v>
      </c>
    </row>
    <row r="41" spans="5:32" x14ac:dyDescent="0.25">
      <c r="E41" s="79">
        <v>19</v>
      </c>
      <c r="F41" s="8">
        <f t="shared" si="0"/>
        <v>5.3400000000000003E-2</v>
      </c>
      <c r="G41" s="80">
        <f t="shared" si="1"/>
        <v>2.1875</v>
      </c>
      <c r="H41" s="80">
        <f t="shared" si="2"/>
        <v>0.81409501477292667</v>
      </c>
      <c r="I41" s="28">
        <f t="shared" si="3"/>
        <v>9.40319190548204E-3</v>
      </c>
      <c r="J41" s="21">
        <f t="shared" si="4"/>
        <v>0.17866064620415875</v>
      </c>
      <c r="K41" s="6"/>
      <c r="L41" s="15">
        <f>E41*H41*(E41+0.5)</f>
        <v>301.62220297336933</v>
      </c>
      <c r="O41" s="79">
        <v>19</v>
      </c>
      <c r="P41" s="7">
        <f t="shared" si="19"/>
        <v>7.0900000000000005E-2</v>
      </c>
      <c r="Q41" s="13">
        <f t="shared" si="6"/>
        <v>2.1875</v>
      </c>
      <c r="R41" s="13">
        <f t="shared" si="7"/>
        <v>0.5952763230106155</v>
      </c>
      <c r="S41" s="28">
        <f t="shared" si="8"/>
        <v>9.0104140572439505E-3</v>
      </c>
      <c r="T41" s="21">
        <f t="shared" si="9"/>
        <v>0.17119786708763507</v>
      </c>
      <c r="U41" s="6"/>
      <c r="V41" s="15">
        <f t="shared" si="11"/>
        <v>220.54987767543307</v>
      </c>
      <c r="Y41" s="79">
        <v>19</v>
      </c>
      <c r="Z41" s="7">
        <f t="shared" si="12"/>
        <v>3.5900000000000001E-2</v>
      </c>
      <c r="AA41" s="13">
        <f t="shared" si="13"/>
        <v>2.1875</v>
      </c>
      <c r="AB41" s="13">
        <f t="shared" si="14"/>
        <v>1.1192039477880187</v>
      </c>
      <c r="AC41" s="28">
        <f t="shared" si="15"/>
        <v>8.8541246329601111E-3</v>
      </c>
      <c r="AD41" s="21">
        <f t="shared" si="16"/>
        <v>0.16822836802624211</v>
      </c>
      <c r="AE41" s="15">
        <f t="shared" si="17"/>
        <v>1.0068290417343841</v>
      </c>
      <c r="AF41" s="15">
        <f t="shared" si="18"/>
        <v>414.66506265546087</v>
      </c>
    </row>
    <row r="42" spans="5:32" x14ac:dyDescent="0.25">
      <c r="E42" s="79">
        <v>19.5</v>
      </c>
      <c r="F42" s="8">
        <f t="shared" si="0"/>
        <v>5.3400000000000003E-2</v>
      </c>
      <c r="G42" s="80">
        <f t="shared" si="1"/>
        <v>2.1875</v>
      </c>
      <c r="H42" s="80">
        <f t="shared" si="2"/>
        <v>0.79319220627454279</v>
      </c>
      <c r="I42" s="28">
        <f t="shared" si="3"/>
        <v>9.1617543384817455E-3</v>
      </c>
      <c r="J42" s="21">
        <f t="shared" si="4"/>
        <v>0.17865420960039405</v>
      </c>
      <c r="K42" s="6"/>
      <c r="L42" s="15">
        <f>E42*H42*(E42+0.5)</f>
        <v>309.34496044707168</v>
      </c>
      <c r="O42" s="79">
        <v>19.5</v>
      </c>
      <c r="P42" s="7">
        <f t="shared" si="19"/>
        <v>7.0900000000000005E-2</v>
      </c>
      <c r="Q42" s="13">
        <f t="shared" si="6"/>
        <v>2.1875</v>
      </c>
      <c r="R42" s="13">
        <f t="shared" si="7"/>
        <v>0.57523347274968895</v>
      </c>
      <c r="S42" s="28">
        <f t="shared" si="8"/>
        <v>8.7070349830940981E-3</v>
      </c>
      <c r="T42" s="21">
        <f t="shared" si="9"/>
        <v>0.16978718217033492</v>
      </c>
      <c r="U42" s="6"/>
      <c r="V42" s="15">
        <f t="shared" si="11"/>
        <v>224.34105437237866</v>
      </c>
      <c r="Y42" s="87">
        <v>19.5</v>
      </c>
      <c r="Z42" s="41">
        <f t="shared" si="12"/>
        <v>3.5900000000000001E-2</v>
      </c>
      <c r="AA42" s="44">
        <f t="shared" si="13"/>
        <v>2.1875</v>
      </c>
      <c r="AB42" s="44">
        <f t="shared" si="14"/>
        <v>1.0996394624307364</v>
      </c>
      <c r="AC42" s="36">
        <f t="shared" si="15"/>
        <v>8.6993482027344464E-3</v>
      </c>
      <c r="AD42" s="37">
        <f t="shared" si="16"/>
        <v>0.1696372899533217</v>
      </c>
      <c r="AE42" s="40">
        <f t="shared" si="17"/>
        <v>0.97193652064328917</v>
      </c>
      <c r="AF42" s="40">
        <f t="shared" si="18"/>
        <v>428.85939034798719</v>
      </c>
    </row>
    <row r="43" spans="5:32" x14ac:dyDescent="0.25">
      <c r="E43" s="79">
        <v>20</v>
      </c>
      <c r="F43" s="8">
        <f t="shared" si="0"/>
        <v>5.3400000000000003E-2</v>
      </c>
      <c r="G43" s="80">
        <f t="shared" si="1"/>
        <v>2.1875</v>
      </c>
      <c r="H43" s="80">
        <f t="shared" si="2"/>
        <v>0.77282610098056448</v>
      </c>
      <c r="I43" s="28">
        <f t="shared" si="3"/>
        <v>8.9265159535618366E-3</v>
      </c>
      <c r="J43" s="21">
        <f t="shared" si="4"/>
        <v>0.17853031907123673</v>
      </c>
      <c r="K43" s="6"/>
      <c r="L43" s="15">
        <f>E43*H43*(E43+0.5)</f>
        <v>316.85870140203144</v>
      </c>
      <c r="O43" s="79">
        <v>20</v>
      </c>
      <c r="P43" s="7">
        <f t="shared" si="19"/>
        <v>7.0900000000000005E-2</v>
      </c>
      <c r="Q43" s="13">
        <f t="shared" si="6"/>
        <v>2.1875</v>
      </c>
      <c r="R43" s="13">
        <f t="shared" si="7"/>
        <v>0.55586546177104823</v>
      </c>
      <c r="S43" s="28">
        <f t="shared" si="8"/>
        <v>8.4138706296049588E-3</v>
      </c>
      <c r="T43" s="21">
        <f t="shared" si="9"/>
        <v>0.16827741259209916</v>
      </c>
      <c r="U43" s="6"/>
      <c r="V43" s="15">
        <f t="shared" si="11"/>
        <v>227.90483932612977</v>
      </c>
      <c r="Y43" s="79">
        <v>20</v>
      </c>
      <c r="Z43" s="7">
        <f t="shared" si="12"/>
        <v>3.5900000000000001E-2</v>
      </c>
      <c r="AA43" s="13">
        <f t="shared" si="13"/>
        <v>2.1875</v>
      </c>
      <c r="AB43" s="13">
        <f t="shared" si="14"/>
        <v>1.0804169782681907</v>
      </c>
      <c r="AC43" s="28">
        <f t="shared" si="15"/>
        <v>8.5472773751907628E-3</v>
      </c>
      <c r="AD43" s="21">
        <f t="shared" si="16"/>
        <v>0.17094554750381524</v>
      </c>
      <c r="AE43" s="15"/>
      <c r="AF43" s="15">
        <f t="shared" si="18"/>
        <v>442.97096108995817</v>
      </c>
    </row>
    <row r="44" spans="5:32" x14ac:dyDescent="0.25">
      <c r="E44" s="79">
        <v>20.5</v>
      </c>
      <c r="F44" s="8">
        <f t="shared" si="0"/>
        <v>5.3400000000000003E-2</v>
      </c>
      <c r="G44" s="80">
        <f t="shared" si="1"/>
        <v>2.1875</v>
      </c>
      <c r="H44" s="80">
        <f t="shared" si="2"/>
        <v>0.75298291843036158</v>
      </c>
      <c r="I44" s="28">
        <f t="shared" si="3"/>
        <v>8.6973175797244607E-3</v>
      </c>
      <c r="J44" s="21">
        <f t="shared" si="4"/>
        <v>0.17829501038435144</v>
      </c>
      <c r="K44" s="6"/>
      <c r="L44" s="15">
        <f>E44*H44*(E44+0.5)</f>
        <v>324.15914638427063</v>
      </c>
      <c r="O44" s="79">
        <v>20.5</v>
      </c>
      <c r="P44" s="7">
        <f t="shared" si="19"/>
        <v>7.3400000000000007E-2</v>
      </c>
      <c r="Q44" s="13">
        <f t="shared" si="6"/>
        <v>2.1875</v>
      </c>
      <c r="R44" s="13">
        <f t="shared" si="7"/>
        <v>0.51207720907221033</v>
      </c>
      <c r="S44" s="28">
        <f t="shared" si="8"/>
        <v>7.7510687132372504E-3</v>
      </c>
      <c r="T44" s="21">
        <f t="shared" si="9"/>
        <v>0.15889690862136363</v>
      </c>
      <c r="U44" s="6"/>
      <c r="V44" s="15">
        <f t="shared" si="11"/>
        <v>220.44923850558655</v>
      </c>
      <c r="Y44" s="79">
        <v>20.5</v>
      </c>
      <c r="Z44" s="7">
        <f t="shared" si="12"/>
        <v>3.3399999999999999E-2</v>
      </c>
      <c r="AA44" s="13">
        <f t="shared" si="13"/>
        <v>2.1875</v>
      </c>
      <c r="AB44" s="13">
        <f t="shared" si="14"/>
        <v>1.1154360820133788</v>
      </c>
      <c r="AC44" s="28">
        <f t="shared" si="15"/>
        <v>8.8243167027478725E-3</v>
      </c>
      <c r="AD44" s="21">
        <f t="shared" si="16"/>
        <v>0.18089849240633138</v>
      </c>
      <c r="AE44" s="15"/>
      <c r="AF44" s="15">
        <f t="shared" si="18"/>
        <v>480.19523330675958</v>
      </c>
    </row>
    <row r="45" spans="5:32" x14ac:dyDescent="0.25">
      <c r="E45" s="79">
        <v>21</v>
      </c>
      <c r="F45" s="8">
        <f t="shared" si="0"/>
        <v>5.3400000000000003E-2</v>
      </c>
      <c r="G45" s="80">
        <f t="shared" si="1"/>
        <v>2.1875</v>
      </c>
      <c r="H45" s="80">
        <f t="shared" si="2"/>
        <v>0.73364923199218213</v>
      </c>
      <c r="I45" s="28">
        <f t="shared" si="3"/>
        <v>8.4740041328667543E-3</v>
      </c>
      <c r="J45" s="21">
        <f t="shared" si="4"/>
        <v>0.17795408679020183</v>
      </c>
      <c r="K45" s="6"/>
      <c r="L45" s="15">
        <f>E45*H45*(E45+0.5)</f>
        <v>331.24262824447021</v>
      </c>
      <c r="O45" s="79">
        <v>21</v>
      </c>
      <c r="P45" s="7">
        <f t="shared" si="19"/>
        <v>7.3400000000000007E-2</v>
      </c>
      <c r="Q45" s="13">
        <f t="shared" si="6"/>
        <v>2.1875</v>
      </c>
      <c r="R45" s="13">
        <f t="shared" si="7"/>
        <v>0.4942590746164186</v>
      </c>
      <c r="S45" s="28">
        <f t="shared" si="8"/>
        <v>7.4813641021713312E-3</v>
      </c>
      <c r="T45" s="21">
        <f t="shared" si="9"/>
        <v>0.15710864614559794</v>
      </c>
      <c r="U45" s="6"/>
      <c r="V45" s="15">
        <f t="shared" si="11"/>
        <v>223.157972189313</v>
      </c>
      <c r="Y45" s="79">
        <v>21</v>
      </c>
      <c r="Z45" s="7">
        <f t="shared" si="12"/>
        <v>3.3399999999999999E-2</v>
      </c>
      <c r="AA45" s="13">
        <f t="shared" si="13"/>
        <v>2.1875</v>
      </c>
      <c r="AB45" s="13">
        <f t="shared" si="14"/>
        <v>1.0972623061376197</v>
      </c>
      <c r="AC45" s="28">
        <f t="shared" si="15"/>
        <v>8.6805423022255357E-3</v>
      </c>
      <c r="AD45" s="21">
        <f t="shared" si="16"/>
        <v>0.18229138834673625</v>
      </c>
      <c r="AE45" s="15"/>
      <c r="AF45" s="15">
        <f t="shared" si="18"/>
        <v>495.41393122113527</v>
      </c>
    </row>
    <row r="46" spans="5:32" x14ac:dyDescent="0.25">
      <c r="E46" s="79">
        <v>21.5</v>
      </c>
      <c r="F46" s="8">
        <f t="shared" si="0"/>
        <v>5.3400000000000003E-2</v>
      </c>
      <c r="G46" s="80">
        <f t="shared" si="1"/>
        <v>2.1875</v>
      </c>
      <c r="H46" s="80">
        <f t="shared" si="2"/>
        <v>0.71481195977820544</v>
      </c>
      <c r="I46" s="28">
        <f t="shared" si="3"/>
        <v>8.256424510845321E-3</v>
      </c>
      <c r="J46" s="21">
        <f t="shared" si="4"/>
        <v>0.1775131269831744</v>
      </c>
      <c r="K46" s="6"/>
      <c r="L46" s="15">
        <f>E46*H46*(E46+0.5)</f>
        <v>338.10605697509118</v>
      </c>
      <c r="O46" s="79">
        <v>21.5</v>
      </c>
      <c r="P46" s="7">
        <f t="shared" si="19"/>
        <v>7.3400000000000007E-2</v>
      </c>
      <c r="Q46" s="13">
        <f t="shared" si="6"/>
        <v>2.1875</v>
      </c>
      <c r="R46" s="13">
        <f t="shared" si="7"/>
        <v>0.47706093634452235</v>
      </c>
      <c r="S46" s="28">
        <f t="shared" si="8"/>
        <v>7.2210440779180637E-3</v>
      </c>
      <c r="T46" s="21">
        <f t="shared" si="9"/>
        <v>0.15525244767523838</v>
      </c>
      <c r="U46" s="6"/>
      <c r="V46" s="15">
        <f t="shared" si="11"/>
        <v>225.64982289095906</v>
      </c>
      <c r="Y46" s="79">
        <v>21.5</v>
      </c>
      <c r="Z46" s="7">
        <f t="shared" si="12"/>
        <v>3.3399999999999999E-2</v>
      </c>
      <c r="AA46" s="13">
        <f t="shared" si="13"/>
        <v>2.1875</v>
      </c>
      <c r="AB46" s="13">
        <f t="shared" si="14"/>
        <v>1.0793846351977732</v>
      </c>
      <c r="AC46" s="28">
        <f t="shared" si="15"/>
        <v>8.539110414890529E-3</v>
      </c>
      <c r="AD46" s="21">
        <f t="shared" si="16"/>
        <v>0.18359087392014636</v>
      </c>
      <c r="AE46" s="15"/>
      <c r="AF46" s="15">
        <f t="shared" si="18"/>
        <v>510.54893244854668</v>
      </c>
    </row>
    <row r="47" spans="5:32" x14ac:dyDescent="0.25">
      <c r="E47" s="79">
        <v>22</v>
      </c>
      <c r="F47" s="8">
        <f t="shared" si="0"/>
        <v>5.3400000000000003E-2</v>
      </c>
      <c r="G47" s="80">
        <f t="shared" si="1"/>
        <v>2.1875</v>
      </c>
      <c r="H47" s="80">
        <f t="shared" si="2"/>
        <v>0.69645835579284421</v>
      </c>
      <c r="I47" s="28">
        <f t="shared" si="3"/>
        <v>8.0444314912348144E-3</v>
      </c>
      <c r="J47" s="21">
        <f t="shared" si="4"/>
        <v>0.1769774928071659</v>
      </c>
      <c r="K47" s="6"/>
      <c r="L47" s="15">
        <f>E47*H47*(E47+0.5)</f>
        <v>344.7468861174579</v>
      </c>
      <c r="O47" s="79">
        <v>22</v>
      </c>
      <c r="P47" s="7">
        <f t="shared" si="19"/>
        <v>7.3400000000000007E-2</v>
      </c>
      <c r="Q47" s="13">
        <f t="shared" si="6"/>
        <v>2.1875</v>
      </c>
      <c r="R47" s="13">
        <f t="shared" si="7"/>
        <v>0.46046122099535935</v>
      </c>
      <c r="S47" s="28">
        <f t="shared" si="8"/>
        <v>6.969782096302714E-3</v>
      </c>
      <c r="T47" s="21">
        <f t="shared" si="9"/>
        <v>0.15333520611865969</v>
      </c>
      <c r="U47" s="6"/>
      <c r="V47" s="15">
        <f t="shared" si="11"/>
        <v>227.92830439270287</v>
      </c>
      <c r="Y47" s="79">
        <v>22</v>
      </c>
      <c r="Z47" s="7">
        <f t="shared" si="12"/>
        <v>3.3399999999999999E-2</v>
      </c>
      <c r="AA47" s="13">
        <f t="shared" si="13"/>
        <v>2.1875</v>
      </c>
      <c r="AB47" s="13">
        <f t="shared" si="14"/>
        <v>1.0617982447625505</v>
      </c>
      <c r="AC47" s="28">
        <f t="shared" si="15"/>
        <v>8.3999828742263756E-3</v>
      </c>
      <c r="AD47" s="21">
        <f t="shared" si="16"/>
        <v>0.18479962323298027</v>
      </c>
      <c r="AE47" s="15"/>
      <c r="AF47" s="15">
        <f t="shared" si="18"/>
        <v>525.59013115746245</v>
      </c>
    </row>
    <row r="48" spans="5:32" x14ac:dyDescent="0.25">
      <c r="E48" s="79">
        <v>22.5</v>
      </c>
      <c r="F48" s="8">
        <f t="shared" si="0"/>
        <v>5.3400000000000003E-2</v>
      </c>
      <c r="G48" s="80">
        <f t="shared" si="1"/>
        <v>2.1875</v>
      </c>
      <c r="H48" s="80">
        <f t="shared" si="2"/>
        <v>0.67857600130834028</v>
      </c>
      <c r="I48" s="28">
        <f t="shared" si="3"/>
        <v>7.8378816317119064E-3</v>
      </c>
      <c r="J48" s="21">
        <f t="shared" si="4"/>
        <v>0.17635233671351788</v>
      </c>
      <c r="K48" s="6"/>
      <c r="L48" s="15">
        <f>E48*H48*(E48+0.5)</f>
        <v>351.16308067706609</v>
      </c>
      <c r="O48" s="79">
        <v>22.5</v>
      </c>
      <c r="P48" s="7">
        <f t="shared" si="19"/>
        <v>7.3400000000000007E-2</v>
      </c>
      <c r="Q48" s="13">
        <f t="shared" si="6"/>
        <v>2.1875</v>
      </c>
      <c r="R48" s="13">
        <f t="shared" si="7"/>
        <v>0.44443910596657576</v>
      </c>
      <c r="S48" s="28">
        <f t="shared" si="8"/>
        <v>6.7272629755152453E-3</v>
      </c>
      <c r="T48" s="21">
        <f t="shared" si="9"/>
        <v>0.15136341694909303</v>
      </c>
      <c r="U48" s="6"/>
      <c r="V48" s="15">
        <f t="shared" si="11"/>
        <v>229.99723733770296</v>
      </c>
      <c r="Y48" s="79">
        <v>22.5</v>
      </c>
      <c r="Z48" s="7">
        <f t="shared" si="12"/>
        <v>3.3399999999999999E-2</v>
      </c>
      <c r="AA48" s="13">
        <f t="shared" si="13"/>
        <v>2.1875</v>
      </c>
      <c r="AB48" s="13">
        <f t="shared" si="14"/>
        <v>1.0444983890050057</v>
      </c>
      <c r="AC48" s="28">
        <f t="shared" si="15"/>
        <v>8.2631221355627324E-3</v>
      </c>
      <c r="AD48" s="21">
        <f t="shared" si="16"/>
        <v>0.18592024805016147</v>
      </c>
      <c r="AE48" s="6"/>
      <c r="AF48" s="15">
        <f t="shared" si="18"/>
        <v>540.5279163100904</v>
      </c>
    </row>
    <row r="49" spans="5:32" x14ac:dyDescent="0.25">
      <c r="E49" s="79">
        <v>23</v>
      </c>
      <c r="F49" s="8">
        <f t="shared" si="0"/>
        <v>5.3400000000000003E-2</v>
      </c>
      <c r="G49" s="80">
        <f t="shared" si="1"/>
        <v>2.1875</v>
      </c>
      <c r="H49" s="80">
        <f t="shared" si="2"/>
        <v>0.66115279646178493</v>
      </c>
      <c r="I49" s="28">
        <f t="shared" si="3"/>
        <v>7.6366351729967872E-3</v>
      </c>
      <c r="J49" s="21">
        <f t="shared" si="4"/>
        <v>0.17564260897892611</v>
      </c>
      <c r="K49" s="6"/>
      <c r="L49" s="15">
        <f>E49*H49*(E49+0.5)</f>
        <v>357.35308648759474</v>
      </c>
      <c r="O49" s="79">
        <v>23</v>
      </c>
      <c r="P49" s="7">
        <f t="shared" si="19"/>
        <v>7.5899999999999995E-2</v>
      </c>
      <c r="Q49" s="13">
        <f t="shared" si="6"/>
        <v>2.1875</v>
      </c>
      <c r="R49" s="13">
        <f t="shared" si="7"/>
        <v>0.40662510540963404</v>
      </c>
      <c r="S49" s="28">
        <f t="shared" si="8"/>
        <v>6.1548904671384561E-3</v>
      </c>
      <c r="T49" s="21">
        <f t="shared" si="9"/>
        <v>0.14156248074418448</v>
      </c>
      <c r="U49" s="6"/>
      <c r="V49" s="15">
        <f t="shared" si="11"/>
        <v>219.78086947390719</v>
      </c>
      <c r="Y49" s="79">
        <v>23</v>
      </c>
      <c r="Z49" s="7">
        <f t="shared" si="12"/>
        <v>3.0900000000000004E-2</v>
      </c>
      <c r="AA49" s="13">
        <f t="shared" si="13"/>
        <v>2.1875</v>
      </c>
      <c r="AB49" s="13">
        <f t="shared" si="14"/>
        <v>1.0863447011081828</v>
      </c>
      <c r="AC49" s="28">
        <f t="shared" si="15"/>
        <v>8.5941721318780178E-3</v>
      </c>
      <c r="AD49" s="21">
        <f t="shared" si="16"/>
        <v>0.19766595903319442</v>
      </c>
      <c r="AE49" s="6"/>
      <c r="AF49" s="15">
        <f t="shared" si="18"/>
        <v>587.16931094897279</v>
      </c>
    </row>
    <row r="50" spans="5:32" x14ac:dyDescent="0.25">
      <c r="E50" s="79">
        <v>23.5</v>
      </c>
      <c r="F50" s="8">
        <f t="shared" si="0"/>
        <v>5.3400000000000003E-2</v>
      </c>
      <c r="G50" s="80">
        <f t="shared" si="1"/>
        <v>2.1875</v>
      </c>
      <c r="H50" s="80">
        <f t="shared" si="2"/>
        <v>0.6441769520679137</v>
      </c>
      <c r="I50" s="28">
        <f t="shared" si="3"/>
        <v>7.4405559442869817E-3</v>
      </c>
      <c r="J50" s="21">
        <f t="shared" si="4"/>
        <v>0.17485306469074408</v>
      </c>
      <c r="K50" s="6"/>
      <c r="L50" s="15">
        <f>E50*H50*(E50+0.5)</f>
        <v>363.31580096630336</v>
      </c>
      <c r="O50" s="79">
        <v>23.5</v>
      </c>
      <c r="P50" s="7">
        <f t="shared" si="19"/>
        <v>7.5899999999999995E-2</v>
      </c>
      <c r="Q50" s="13">
        <f t="shared" si="6"/>
        <v>2.1875</v>
      </c>
      <c r="R50" s="13">
        <f t="shared" si="7"/>
        <v>0.39202000972917905</v>
      </c>
      <c r="S50" s="28">
        <f t="shared" si="8"/>
        <v>5.933820093028821E-3</v>
      </c>
      <c r="T50" s="21">
        <f t="shared" si="9"/>
        <v>0.13944477218617729</v>
      </c>
      <c r="U50" s="6"/>
      <c r="V50" s="15">
        <f t="shared" si="11"/>
        <v>221.09928548725696</v>
      </c>
      <c r="Y50" s="79">
        <v>23.5</v>
      </c>
      <c r="Z50" s="7">
        <f t="shared" si="12"/>
        <v>3.0900000000000004E-2</v>
      </c>
      <c r="AA50" s="13">
        <f t="shared" si="13"/>
        <v>2.1875</v>
      </c>
      <c r="AB50" s="13">
        <f t="shared" si="14"/>
        <v>1.0699398927809716</v>
      </c>
      <c r="AC50" s="28">
        <f t="shared" si="15"/>
        <v>8.4643921951685196E-3</v>
      </c>
      <c r="AD50" s="21">
        <f t="shared" si="16"/>
        <v>0.19891321658646022</v>
      </c>
      <c r="AE50" s="6"/>
      <c r="AF50" s="15">
        <f t="shared" si="18"/>
        <v>603.44609952846793</v>
      </c>
    </row>
    <row r="51" spans="5:32" x14ac:dyDescent="0.25">
      <c r="E51" s="79">
        <v>24</v>
      </c>
      <c r="F51" s="8">
        <f t="shared" si="0"/>
        <v>5.3400000000000003E-2</v>
      </c>
      <c r="G51" s="80">
        <f t="shared" si="1"/>
        <v>2.1875</v>
      </c>
      <c r="H51" s="80">
        <f t="shared" si="2"/>
        <v>0.62763698164209702</v>
      </c>
      <c r="I51" s="28">
        <f t="shared" si="3"/>
        <v>7.249511271119031E-3</v>
      </c>
      <c r="J51" s="21">
        <f t="shared" si="4"/>
        <v>0.17398827050685675</v>
      </c>
      <c r="K51" s="6"/>
      <c r="L51" s="15">
        <f>E51*H51*(E51+0.5)</f>
        <v>369.05054520555308</v>
      </c>
      <c r="O51" s="79">
        <v>24</v>
      </c>
      <c r="P51" s="7">
        <f t="shared" si="19"/>
        <v>7.5899999999999995E-2</v>
      </c>
      <c r="Q51" s="13">
        <f t="shared" si="6"/>
        <v>2.1875</v>
      </c>
      <c r="R51" s="13">
        <f t="shared" si="7"/>
        <v>0.37793949754590023</v>
      </c>
      <c r="S51" s="28">
        <f t="shared" si="8"/>
        <v>5.7206900893563119E-3</v>
      </c>
      <c r="T51" s="21">
        <f t="shared" si="9"/>
        <v>0.13729656214455149</v>
      </c>
      <c r="U51" s="6"/>
      <c r="V51" s="15">
        <f t="shared" si="11"/>
        <v>222.22842455698932</v>
      </c>
      <c r="Y51" s="79">
        <v>24</v>
      </c>
      <c r="Z51" s="7">
        <f t="shared" si="12"/>
        <v>3.0900000000000004E-2</v>
      </c>
      <c r="AA51" s="13">
        <f t="shared" si="13"/>
        <v>2.1875</v>
      </c>
      <c r="AB51" s="13">
        <f t="shared" si="14"/>
        <v>1.053782812210867</v>
      </c>
      <c r="AC51" s="28">
        <f t="shared" si="15"/>
        <v>8.3365720553671713E-3</v>
      </c>
      <c r="AD51" s="21">
        <f t="shared" si="16"/>
        <v>0.20007772932881213</v>
      </c>
      <c r="AE51" s="6"/>
      <c r="AF51" s="15">
        <f t="shared" si="18"/>
        <v>619.62429357998985</v>
      </c>
    </row>
    <row r="52" spans="5:32" x14ac:dyDescent="0.25">
      <c r="E52" s="79">
        <v>24.5</v>
      </c>
      <c r="F52" s="8">
        <f t="shared" si="0"/>
        <v>5.3400000000000003E-2</v>
      </c>
      <c r="G52" s="80">
        <f t="shared" si="1"/>
        <v>2.1875</v>
      </c>
      <c r="H52" s="80">
        <f t="shared" si="2"/>
        <v>0.61152169362816944</v>
      </c>
      <c r="I52" s="28">
        <f t="shared" si="3"/>
        <v>7.0633718855961473E-3</v>
      </c>
      <c r="J52" s="21">
        <f t="shared" si="4"/>
        <v>0.1730526111971056</v>
      </c>
      <c r="K52" s="6"/>
      <c r="L52" s="15">
        <f>E52*H52*(E52+0.5)</f>
        <v>374.55703734725375</v>
      </c>
      <c r="O52" s="79">
        <v>24.5</v>
      </c>
      <c r="P52" s="7">
        <f t="shared" si="19"/>
        <v>7.5899999999999995E-2</v>
      </c>
      <c r="Q52" s="13">
        <f t="shared" si="6"/>
        <v>2.1875</v>
      </c>
      <c r="R52" s="13">
        <f t="shared" si="7"/>
        <v>0.36436472695341482</v>
      </c>
      <c r="S52" s="28">
        <f t="shared" si="8"/>
        <v>5.515215255162023E-3</v>
      </c>
      <c r="T52" s="21">
        <f t="shared" si="9"/>
        <v>0.13512277375146955</v>
      </c>
      <c r="U52" s="6"/>
      <c r="V52" s="15">
        <f t="shared" si="11"/>
        <v>223.17339525896656</v>
      </c>
      <c r="Y52" s="79">
        <v>24.5</v>
      </c>
      <c r="Z52" s="7">
        <f t="shared" si="12"/>
        <v>3.0900000000000004E-2</v>
      </c>
      <c r="AA52" s="13">
        <f t="shared" si="13"/>
        <v>2.1875</v>
      </c>
      <c r="AB52" s="13">
        <f t="shared" si="14"/>
        <v>1.0378697184799415</v>
      </c>
      <c r="AC52" s="28">
        <f t="shared" si="15"/>
        <v>8.2106821177306433E-3</v>
      </c>
      <c r="AD52" s="21">
        <f t="shared" si="16"/>
        <v>0.20116171188440077</v>
      </c>
      <c r="AE52" s="6"/>
      <c r="AF52" s="15">
        <f t="shared" si="18"/>
        <v>635.69520256896408</v>
      </c>
    </row>
    <row r="53" spans="5:32" x14ac:dyDescent="0.25">
      <c r="E53" s="79">
        <v>25</v>
      </c>
      <c r="F53" s="8">
        <f t="shared" si="0"/>
        <v>5.3400000000000003E-2</v>
      </c>
      <c r="G53" s="80">
        <f t="shared" si="1"/>
        <v>2.1875</v>
      </c>
      <c r="H53" s="80">
        <f t="shared" si="2"/>
        <v>0.59582018382579938</v>
      </c>
      <c r="I53" s="28">
        <f t="shared" si="3"/>
        <v>6.8820118389206686E-3</v>
      </c>
      <c r="J53" s="21">
        <f t="shared" si="4"/>
        <v>0.17205029597301671</v>
      </c>
      <c r="K53" s="6"/>
      <c r="L53" s="15">
        <f>E53*H53*(E53+0.5)</f>
        <v>379.83536718894709</v>
      </c>
      <c r="O53" s="79">
        <v>25</v>
      </c>
      <c r="P53" s="7">
        <f t="shared" si="19"/>
        <v>7.5899999999999995E-2</v>
      </c>
      <c r="Q53" s="13">
        <f t="shared" si="6"/>
        <v>2.1875</v>
      </c>
      <c r="R53" s="13">
        <f t="shared" si="7"/>
        <v>0.3512775328059301</v>
      </c>
      <c r="S53" s="28">
        <f t="shared" si="8"/>
        <v>5.3171206332896289E-3</v>
      </c>
      <c r="T53" s="21">
        <f t="shared" si="9"/>
        <v>0.13292801583224073</v>
      </c>
      <c r="U53" s="6"/>
      <c r="V53" s="15">
        <f t="shared" si="11"/>
        <v>223.93942716378046</v>
      </c>
      <c r="Y53" s="79">
        <v>25</v>
      </c>
      <c r="Z53" s="7">
        <f t="shared" si="12"/>
        <v>3.0900000000000004E-2</v>
      </c>
      <c r="AA53" s="13">
        <f t="shared" si="13"/>
        <v>2.1875</v>
      </c>
      <c r="AB53" s="13">
        <f t="shared" si="14"/>
        <v>1.0221969271615743</v>
      </c>
      <c r="AC53" s="28">
        <f t="shared" si="15"/>
        <v>8.0866932344234865E-3</v>
      </c>
      <c r="AD53" s="21">
        <f t="shared" si="16"/>
        <v>0.20216733086058716</v>
      </c>
      <c r="AE53" s="6"/>
      <c r="AF53" s="15">
        <f t="shared" si="18"/>
        <v>651.6505410655036</v>
      </c>
    </row>
    <row r="54" spans="5:32" x14ac:dyDescent="0.25">
      <c r="E54" s="79">
        <v>25.5</v>
      </c>
      <c r="F54" s="8">
        <f t="shared" si="0"/>
        <v>5.3400000000000003E-2</v>
      </c>
      <c r="G54" s="80">
        <f t="shared" si="1"/>
        <v>2.1875</v>
      </c>
      <c r="H54" s="80">
        <f t="shared" si="2"/>
        <v>0.580521828012312</v>
      </c>
      <c r="I54" s="28">
        <f t="shared" si="3"/>
        <v>6.7053084161725349E-3</v>
      </c>
      <c r="J54" s="21">
        <f t="shared" si="4"/>
        <v>0.17098536461239963</v>
      </c>
      <c r="K54" s="6"/>
      <c r="L54" s="15">
        <f>E54*H54*(E54+0.5)</f>
        <v>384.88597197216285</v>
      </c>
      <c r="O54" s="79">
        <v>25.5</v>
      </c>
      <c r="P54" s="7">
        <f t="shared" si="19"/>
        <v>7.8399999999999997E-2</v>
      </c>
      <c r="Q54" s="13">
        <f t="shared" si="6"/>
        <v>2.1875</v>
      </c>
      <c r="R54" s="13">
        <f t="shared" si="7"/>
        <v>0.31919872086299422</v>
      </c>
      <c r="S54" s="28">
        <f t="shared" si="8"/>
        <v>4.8315589421938443E-3</v>
      </c>
      <c r="T54" s="21">
        <f t="shared" si="9"/>
        <v>0.12320475302594303</v>
      </c>
      <c r="U54" s="6"/>
      <c r="V54" s="15">
        <f t="shared" si="11"/>
        <v>211.62875193216519</v>
      </c>
      <c r="Y54" s="79">
        <v>25.5</v>
      </c>
      <c r="Z54" s="7">
        <f t="shared" si="12"/>
        <v>2.8400000000000002E-2</v>
      </c>
      <c r="AA54" s="13">
        <f t="shared" si="13"/>
        <v>2.1875</v>
      </c>
      <c r="AB54" s="13">
        <f t="shared" si="14"/>
        <v>1.0710637685307272</v>
      </c>
      <c r="AC54" s="28">
        <f t="shared" si="15"/>
        <v>8.4732832788534575E-3</v>
      </c>
      <c r="AD54" s="21">
        <f t="shared" si="16"/>
        <v>0.21606872361076318</v>
      </c>
      <c r="AE54" s="6"/>
      <c r="AF54" s="15">
        <f t="shared" si="18"/>
        <v>710.11527853587211</v>
      </c>
    </row>
    <row r="55" spans="5:32" x14ac:dyDescent="0.25">
      <c r="E55" s="79">
        <v>26</v>
      </c>
      <c r="F55" s="8">
        <f t="shared" si="0"/>
        <v>5.3400000000000003E-2</v>
      </c>
      <c r="G55" s="80">
        <f t="shared" si="1"/>
        <v>2.1875</v>
      </c>
      <c r="H55" s="80">
        <f t="shared" si="2"/>
        <v>0.56561627475393894</v>
      </c>
      <c r="I55" s="28">
        <f t="shared" si="3"/>
        <v>6.5331420532757428E-3</v>
      </c>
      <c r="J55" s="21">
        <f t="shared" si="4"/>
        <v>0.16986169338516932</v>
      </c>
      <c r="K55" s="6"/>
      <c r="L55" s="15">
        <f>E55*H55*(E55+0.5)</f>
        <v>389.7096133054639</v>
      </c>
      <c r="O55" s="79">
        <v>26</v>
      </c>
      <c r="P55" s="7">
        <f t="shared" si="19"/>
        <v>7.8399999999999997E-2</v>
      </c>
      <c r="Q55" s="13">
        <f t="shared" si="6"/>
        <v>2.1875</v>
      </c>
      <c r="R55" s="13">
        <f t="shared" si="7"/>
        <v>0.30737688332985408</v>
      </c>
      <c r="S55" s="28">
        <f t="shared" si="8"/>
        <v>4.6526174204609859E-3</v>
      </c>
      <c r="T55" s="21">
        <f t="shared" si="9"/>
        <v>0.12096805293198563</v>
      </c>
      <c r="U55" s="6"/>
      <c r="V55" s="15">
        <f t="shared" si="11"/>
        <v>211.78267261426944</v>
      </c>
      <c r="Y55" s="79">
        <v>26</v>
      </c>
      <c r="Z55" s="7">
        <f t="shared" si="12"/>
        <v>2.8400000000000002E-2</v>
      </c>
      <c r="AA55" s="13">
        <f t="shared" si="13"/>
        <v>2.1875</v>
      </c>
      <c r="AB55" s="13">
        <f t="shared" si="14"/>
        <v>1.0561711358314063</v>
      </c>
      <c r="AC55" s="28">
        <f t="shared" si="15"/>
        <v>8.3554663016230865E-3</v>
      </c>
      <c r="AD55" s="21">
        <f t="shared" si="16"/>
        <v>0.21724212384220026</v>
      </c>
      <c r="AE55" s="6"/>
      <c r="AF55" s="15">
        <f t="shared" si="18"/>
        <v>727.70191258783893</v>
      </c>
    </row>
    <row r="56" spans="5:32" x14ac:dyDescent="0.25">
      <c r="E56" s="79">
        <v>26.5</v>
      </c>
      <c r="F56" s="8">
        <f t="shared" si="0"/>
        <v>5.3400000000000003E-2</v>
      </c>
      <c r="G56" s="80">
        <f t="shared" si="1"/>
        <v>2.1875</v>
      </c>
      <c r="H56" s="80">
        <f t="shared" si="2"/>
        <v>0.55109343840166336</v>
      </c>
      <c r="I56" s="28">
        <f t="shared" si="3"/>
        <v>6.3653962560969593E-3</v>
      </c>
      <c r="J56" s="21">
        <f t="shared" si="4"/>
        <v>0.16868300078656942</v>
      </c>
      <c r="K56" s="6"/>
      <c r="L56" s="15">
        <f>E56*H56*(E56+0.5)</f>
        <v>394.3073551763901</v>
      </c>
      <c r="O56" s="79">
        <v>26.5</v>
      </c>
      <c r="P56" s="7">
        <f t="shared" si="19"/>
        <v>7.8399999999999997E-2</v>
      </c>
      <c r="Q56" s="13">
        <f t="shared" si="6"/>
        <v>2.1875</v>
      </c>
      <c r="R56" s="13">
        <f t="shared" si="7"/>
        <v>0.29599287913853323</v>
      </c>
      <c r="S56" s="28">
        <f t="shared" si="8"/>
        <v>4.4803031733993371E-3</v>
      </c>
      <c r="T56" s="21">
        <f t="shared" si="9"/>
        <v>0.11872803409508244</v>
      </c>
      <c r="U56" s="6"/>
      <c r="V56" s="15">
        <f t="shared" si="11"/>
        <v>211.78290502362054</v>
      </c>
      <c r="Y56" s="79">
        <v>26.5</v>
      </c>
      <c r="Z56" s="7">
        <f t="shared" si="12"/>
        <v>2.8400000000000002E-2</v>
      </c>
      <c r="AA56" s="13">
        <f t="shared" si="13"/>
        <v>2.1875</v>
      </c>
      <c r="AB56" s="13">
        <f t="shared" si="14"/>
        <v>1.0414855781123369</v>
      </c>
      <c r="AC56" s="28">
        <f t="shared" si="15"/>
        <v>8.2392875134708853E-3</v>
      </c>
      <c r="AD56" s="21">
        <f t="shared" si="16"/>
        <v>0.21834111910697845</v>
      </c>
      <c r="AE56" s="6"/>
      <c r="AF56" s="15">
        <f t="shared" si="18"/>
        <v>745.18293113937705</v>
      </c>
    </row>
    <row r="57" spans="5:32" x14ac:dyDescent="0.25">
      <c r="E57" s="79">
        <v>27</v>
      </c>
      <c r="F57" s="8">
        <f t="shared" si="0"/>
        <v>5.3400000000000003E-2</v>
      </c>
      <c r="G57" s="80">
        <f t="shared" si="1"/>
        <v>2.1875</v>
      </c>
      <c r="H57" s="80">
        <f t="shared" si="2"/>
        <v>0.5369434922668872</v>
      </c>
      <c r="I57" s="28">
        <f t="shared" si="3"/>
        <v>6.2019575216211726E-3</v>
      </c>
      <c r="J57" s="21">
        <f t="shared" si="4"/>
        <v>0.16745285308377167</v>
      </c>
      <c r="K57" s="6"/>
      <c r="L57" s="15">
        <f>E57*H57*(E57+0.5)</f>
        <v>398.68054300816374</v>
      </c>
      <c r="O57" s="79">
        <v>27</v>
      </c>
      <c r="P57" s="7">
        <f t="shared" si="19"/>
        <v>7.8399999999999997E-2</v>
      </c>
      <c r="Q57" s="13">
        <f t="shared" si="6"/>
        <v>2.1875</v>
      </c>
      <c r="R57" s="13">
        <f t="shared" si="7"/>
        <v>0.28503049270201603</v>
      </c>
      <c r="S57" s="28">
        <f t="shared" si="8"/>
        <v>4.3143707533948314E-3</v>
      </c>
      <c r="T57" s="21">
        <f t="shared" si="9"/>
        <v>0.11648801034166045</v>
      </c>
      <c r="U57" s="6"/>
      <c r="V57" s="15">
        <f t="shared" si="11"/>
        <v>211.6351408312469</v>
      </c>
      <c r="Y57" s="79">
        <v>27</v>
      </c>
      <c r="Z57" s="7">
        <f t="shared" si="12"/>
        <v>2.8400000000000002E-2</v>
      </c>
      <c r="AA57" s="13">
        <f t="shared" si="13"/>
        <v>2.1875</v>
      </c>
      <c r="AB57" s="13">
        <f t="shared" si="14"/>
        <v>1.0270042160943276</v>
      </c>
      <c r="AC57" s="28">
        <f t="shared" si="15"/>
        <v>8.1247241361562493E-3</v>
      </c>
      <c r="AD57" s="21">
        <f t="shared" si="16"/>
        <v>0.21936755167621874</v>
      </c>
      <c r="AE57" s="6"/>
      <c r="AF57" s="15">
        <f t="shared" si="18"/>
        <v>762.55063045003817</v>
      </c>
    </row>
    <row r="58" spans="5:32" x14ac:dyDescent="0.25">
      <c r="E58" s="79">
        <v>27.5</v>
      </c>
      <c r="F58" s="8">
        <f t="shared" si="0"/>
        <v>5.3400000000000003E-2</v>
      </c>
      <c r="G58" s="80">
        <f t="shared" si="1"/>
        <v>2.1875</v>
      </c>
      <c r="H58" s="80">
        <f t="shared" si="2"/>
        <v>0.52315686197234035</v>
      </c>
      <c r="I58" s="28">
        <f t="shared" si="3"/>
        <v>6.04271526115147E-3</v>
      </c>
      <c r="J58" s="21">
        <f t="shared" si="4"/>
        <v>0.16617466968166542</v>
      </c>
      <c r="K58" s="6"/>
      <c r="L58" s="15">
        <f>E58*H58*(E58+0.5)</f>
        <v>402.83078371870209</v>
      </c>
      <c r="O58" s="79">
        <v>27.5</v>
      </c>
      <c r="P58" s="7">
        <f t="shared" si="19"/>
        <v>7.8399999999999997E-2</v>
      </c>
      <c r="Q58" s="13">
        <f t="shared" si="6"/>
        <v>2.1875</v>
      </c>
      <c r="R58" s="13">
        <f t="shared" si="7"/>
        <v>0.27447410899344687</v>
      </c>
      <c r="S58" s="28">
        <f t="shared" si="8"/>
        <v>4.1545838032263863E-3</v>
      </c>
      <c r="T58" s="21">
        <f t="shared" si="9"/>
        <v>0.11425105458872563</v>
      </c>
      <c r="U58" s="6"/>
      <c r="V58" s="15">
        <f t="shared" si="11"/>
        <v>211.3450639249541</v>
      </c>
      <c r="Y58" s="79">
        <v>27.5</v>
      </c>
      <c r="Z58" s="7">
        <f t="shared" si="12"/>
        <v>2.8400000000000002E-2</v>
      </c>
      <c r="AA58" s="13">
        <f t="shared" si="13"/>
        <v>2.1875</v>
      </c>
      <c r="AB58" s="13">
        <f t="shared" si="14"/>
        <v>1.0127242105331942</v>
      </c>
      <c r="AC58" s="28">
        <f t="shared" si="15"/>
        <v>8.0117537081591649E-3</v>
      </c>
      <c r="AD58" s="21">
        <f t="shared" si="16"/>
        <v>0.22032322697437703</v>
      </c>
      <c r="AE58" s="6"/>
      <c r="AF58" s="15">
        <f t="shared" si="18"/>
        <v>779.79764211055954</v>
      </c>
    </row>
    <row r="59" spans="5:32" x14ac:dyDescent="0.25">
      <c r="E59" s="79">
        <v>28</v>
      </c>
      <c r="F59" s="8">
        <f t="shared" si="0"/>
        <v>5.3400000000000003E-2</v>
      </c>
      <c r="G59" s="80">
        <f t="shared" si="1"/>
        <v>2.1875</v>
      </c>
      <c r="H59" s="80">
        <f t="shared" si="2"/>
        <v>0.50972421897369213</v>
      </c>
      <c r="I59" s="28">
        <f t="shared" si="3"/>
        <v>5.8875617254805137E-3</v>
      </c>
      <c r="J59" s="21">
        <f t="shared" si="4"/>
        <v>0.16485172831345438</v>
      </c>
      <c r="K59" s="6"/>
      <c r="L59" s="15">
        <f>E59*H59*(E59+0.5)</f>
        <v>406.75992674100632</v>
      </c>
      <c r="O59" s="79">
        <v>28</v>
      </c>
      <c r="P59" s="7">
        <f t="shared" si="19"/>
        <v>8.09E-2</v>
      </c>
      <c r="Q59" s="13">
        <f t="shared" si="6"/>
        <v>2.1875</v>
      </c>
      <c r="R59" s="13">
        <f t="shared" si="7"/>
        <v>0.24771573277273173</v>
      </c>
      <c r="S59" s="28">
        <f t="shared" si="8"/>
        <v>3.7495550125149265E-3</v>
      </c>
      <c r="T59" s="21">
        <f t="shared" si="9"/>
        <v>0.10498754035041793</v>
      </c>
      <c r="U59" s="6"/>
      <c r="V59" s="15">
        <f t="shared" si="11"/>
        <v>197.67715475263992</v>
      </c>
      <c r="Y59" s="79">
        <v>28</v>
      </c>
      <c r="Z59" s="7">
        <f t="shared" si="12"/>
        <v>2.5900000000000003E-2</v>
      </c>
      <c r="AA59" s="13">
        <f t="shared" si="13"/>
        <v>2.1875</v>
      </c>
      <c r="AB59" s="13">
        <f t="shared" si="14"/>
        <v>1.0690726689035173</v>
      </c>
      <c r="AC59" s="28">
        <f t="shared" si="15"/>
        <v>8.4575315078819577E-3</v>
      </c>
      <c r="AD59" s="21">
        <f t="shared" si="16"/>
        <v>0.23681088222069482</v>
      </c>
      <c r="AE59" s="6"/>
      <c r="AF59" s="15">
        <f t="shared" si="18"/>
        <v>853.11998978500674</v>
      </c>
    </row>
    <row r="60" spans="5:32" x14ac:dyDescent="0.25">
      <c r="E60" s="79">
        <v>28.5</v>
      </c>
      <c r="F60" s="8">
        <f t="shared" si="0"/>
        <v>5.3400000000000003E-2</v>
      </c>
      <c r="G60" s="80">
        <f t="shared" si="1"/>
        <v>2.1875</v>
      </c>
      <c r="H60" s="80">
        <f t="shared" si="2"/>
        <v>0.49663647424752272</v>
      </c>
      <c r="I60" s="28">
        <f t="shared" si="3"/>
        <v>5.7363919319835498E-3</v>
      </c>
      <c r="J60" s="21">
        <f t="shared" si="4"/>
        <v>0.16348717006153116</v>
      </c>
      <c r="K60" s="6"/>
      <c r="L60" s="15">
        <f>E60*H60*(E60+0.5)</f>
        <v>410.47004596557753</v>
      </c>
      <c r="O60" s="79">
        <v>28.5</v>
      </c>
      <c r="P60" s="7">
        <f t="shared" si="19"/>
        <v>8.09E-2</v>
      </c>
      <c r="Q60" s="13">
        <f t="shared" si="6"/>
        <v>2.1875</v>
      </c>
      <c r="R60" s="13">
        <f t="shared" si="7"/>
        <v>0.23826531845618701</v>
      </c>
      <c r="S60" s="28">
        <f t="shared" si="8"/>
        <v>3.6065085940484298E-3</v>
      </c>
      <c r="T60" s="21">
        <f t="shared" si="9"/>
        <v>0.10278549493038025</v>
      </c>
      <c r="U60" s="6"/>
      <c r="V60" s="15">
        <f t="shared" si="11"/>
        <v>196.92628570403855</v>
      </c>
      <c r="Y60" s="79">
        <v>28.5</v>
      </c>
      <c r="Z60" s="7">
        <f t="shared" si="12"/>
        <v>2.5900000000000003E-2</v>
      </c>
      <c r="AA60" s="13">
        <f t="shared" si="13"/>
        <v>2.1875</v>
      </c>
      <c r="AB60" s="13">
        <f t="shared" si="14"/>
        <v>1.0554914312375154</v>
      </c>
      <c r="AC60" s="28">
        <f t="shared" si="15"/>
        <v>8.350089096512435E-3</v>
      </c>
      <c r="AD60" s="21">
        <f t="shared" si="16"/>
        <v>0.23797753925060439</v>
      </c>
      <c r="AE60" s="6"/>
      <c r="AF60" s="15">
        <f t="shared" si="18"/>
        <v>872.36366791780654</v>
      </c>
    </row>
    <row r="61" spans="5:32" x14ac:dyDescent="0.25">
      <c r="E61" s="79">
        <v>29</v>
      </c>
      <c r="F61" s="8">
        <f t="shared" si="0"/>
        <v>5.3400000000000003E-2</v>
      </c>
      <c r="G61" s="80">
        <f t="shared" si="1"/>
        <v>2.1875</v>
      </c>
      <c r="H61" s="80">
        <f t="shared" si="2"/>
        <v>0.48388477214134434</v>
      </c>
      <c r="I61" s="28">
        <f t="shared" si="3"/>
        <v>5.5891035935831728E-3</v>
      </c>
      <c r="J61" s="21">
        <f t="shared" si="4"/>
        <v>0.162084004213912</v>
      </c>
      <c r="K61" s="6"/>
      <c r="L61" s="15">
        <f>E61*H61*(E61+0.5)</f>
        <v>413.96342256692009</v>
      </c>
      <c r="O61" s="79">
        <v>29</v>
      </c>
      <c r="P61" s="7">
        <f t="shared" si="19"/>
        <v>8.09E-2</v>
      </c>
      <c r="Q61" s="13">
        <f t="shared" si="6"/>
        <v>2.1875</v>
      </c>
      <c r="R61" s="13">
        <f t="shared" si="7"/>
        <v>0.22917543970092677</v>
      </c>
      <c r="S61" s="28">
        <f t="shared" si="8"/>
        <v>3.4689194305809294E-3</v>
      </c>
      <c r="T61" s="21">
        <f t="shared" si="9"/>
        <v>0.10059866348684696</v>
      </c>
      <c r="U61" s="6"/>
      <c r="V61" s="15">
        <f t="shared" si="11"/>
        <v>196.05958866414284</v>
      </c>
      <c r="Y61" s="79">
        <v>29</v>
      </c>
      <c r="Z61" s="7">
        <f t="shared" si="12"/>
        <v>2.5900000000000003E-2</v>
      </c>
      <c r="AA61" s="13">
        <f t="shared" si="13"/>
        <v>2.1875</v>
      </c>
      <c r="AB61" s="13">
        <f t="shared" si="14"/>
        <v>1.0420827262925405</v>
      </c>
      <c r="AC61" s="28">
        <f t="shared" si="15"/>
        <v>8.2440116072540776E-3</v>
      </c>
      <c r="AD61" s="21">
        <f t="shared" si="16"/>
        <v>0.23907633661036826</v>
      </c>
      <c r="AE61" s="6"/>
      <c r="AF61" s="15">
        <f t="shared" si="18"/>
        <v>891.50177234326839</v>
      </c>
    </row>
    <row r="62" spans="5:32" x14ac:dyDescent="0.25">
      <c r="E62" s="79">
        <v>29.5</v>
      </c>
      <c r="F62" s="8">
        <f t="shared" si="0"/>
        <v>5.3400000000000003E-2</v>
      </c>
      <c r="G62" s="80">
        <f t="shared" si="1"/>
        <v>2.1875</v>
      </c>
      <c r="H62" s="80">
        <f t="shared" si="2"/>
        <v>0.47146048438154808</v>
      </c>
      <c r="I62" s="28">
        <f t="shared" si="3"/>
        <v>5.4455970495382094E-3</v>
      </c>
      <c r="J62" s="21">
        <f t="shared" si="4"/>
        <v>0.16064511296137718</v>
      </c>
      <c r="K62" s="6"/>
      <c r="L62" s="15">
        <f>E62*H62*(E62+0.5)</f>
        <v>417.24252867767007</v>
      </c>
      <c r="O62" s="79">
        <v>29.5</v>
      </c>
      <c r="P62" s="7">
        <f t="shared" si="19"/>
        <v>8.09E-2</v>
      </c>
      <c r="Q62" s="13">
        <f t="shared" si="6"/>
        <v>2.1875</v>
      </c>
      <c r="R62" s="13">
        <f t="shared" si="7"/>
        <v>0.22043234198925615</v>
      </c>
      <c r="S62" s="28">
        <f t="shared" si="8"/>
        <v>3.3365793265319912E-3</v>
      </c>
      <c r="T62" s="21">
        <f t="shared" si="9"/>
        <v>9.8429090132693742E-2</v>
      </c>
      <c r="U62" s="6"/>
      <c r="V62" s="15">
        <f t="shared" si="11"/>
        <v>195.08262266049169</v>
      </c>
      <c r="Y62" s="79">
        <v>29.5</v>
      </c>
      <c r="Z62" s="7">
        <f t="shared" si="12"/>
        <v>2.5900000000000003E-2</v>
      </c>
      <c r="AA62" s="13">
        <f t="shared" si="13"/>
        <v>2.1875</v>
      </c>
      <c r="AB62" s="13">
        <f t="shared" si="14"/>
        <v>1.0288443622551078</v>
      </c>
      <c r="AC62" s="28">
        <f t="shared" si="15"/>
        <v>8.1392817004702529E-3</v>
      </c>
      <c r="AD62" s="21">
        <f t="shared" si="16"/>
        <v>0.24010881016387245</v>
      </c>
      <c r="AE62" s="6"/>
      <c r="AF62" s="15">
        <f t="shared" si="18"/>
        <v>910.52726059577049</v>
      </c>
    </row>
    <row r="63" spans="5:32" x14ac:dyDescent="0.25">
      <c r="E63" s="79">
        <v>30</v>
      </c>
      <c r="F63" s="8">
        <f t="shared" si="0"/>
        <v>5.3400000000000003E-2</v>
      </c>
      <c r="G63" s="80">
        <f>C5+C9</f>
        <v>102.1875</v>
      </c>
      <c r="H63" s="80">
        <f t="shared" si="2"/>
        <v>21.458450254986523</v>
      </c>
      <c r="I63" s="28">
        <f t="shared" si="3"/>
        <v>0.24785549853558514</v>
      </c>
      <c r="J63" s="21">
        <f t="shared" si="4"/>
        <v>7.4356649560675541</v>
      </c>
      <c r="K63" s="6"/>
      <c r="L63" s="15">
        <f>E63*H63*(E63+0.5)</f>
        <v>19634.481983312668</v>
      </c>
      <c r="O63" s="79">
        <v>30</v>
      </c>
      <c r="P63" s="7">
        <f t="shared" si="19"/>
        <v>8.09E-2</v>
      </c>
      <c r="Q63" s="13">
        <f>$C$9+C5</f>
        <v>102.1875</v>
      </c>
      <c r="R63" s="13">
        <f>Q63/(1+P63)^O63</f>
        <v>9.9044934488723779</v>
      </c>
      <c r="S63" s="28">
        <f t="shared" si="8"/>
        <v>0.14991959792764817</v>
      </c>
      <c r="T63" s="21">
        <f t="shared" si="9"/>
        <v>4.4975879378294454</v>
      </c>
      <c r="U63" s="6"/>
      <c r="V63" s="15">
        <f t="shared" si="11"/>
        <v>9062.6115057182251</v>
      </c>
      <c r="Y63" s="79">
        <v>30</v>
      </c>
      <c r="Z63" s="7">
        <f t="shared" si="12"/>
        <v>2.5900000000000003E-2</v>
      </c>
      <c r="AA63" s="13">
        <f>$C$9+C5</f>
        <v>102.1875</v>
      </c>
      <c r="AB63" s="13">
        <f t="shared" si="14"/>
        <v>47.451165039430293</v>
      </c>
      <c r="AC63" s="28">
        <f t="shared" si="15"/>
        <v>0.37539049971064897</v>
      </c>
      <c r="AD63" s="21">
        <f t="shared" si="16"/>
        <v>11.261714991319469</v>
      </c>
      <c r="AE63" s="6"/>
      <c r="AF63" s="15">
        <f t="shared" si="18"/>
        <v>43417.816011078721</v>
      </c>
    </row>
    <row r="64" spans="5:32" x14ac:dyDescent="0.25">
      <c r="E64" s="10"/>
      <c r="F64" s="10"/>
      <c r="G64" s="14"/>
      <c r="H64" s="14">
        <f>SUM(H4:H63)</f>
        <v>86.576454352517374</v>
      </c>
      <c r="I64" s="10"/>
      <c r="J64" s="22">
        <f>SUM(J4:J63)</f>
        <v>15.98648208441092</v>
      </c>
      <c r="K64" s="16">
        <f>SUM(K4:K35)</f>
        <v>76.346987761722119</v>
      </c>
      <c r="L64" s="16">
        <f>SUM(L4:L63)</f>
        <v>32633.718548282064</v>
      </c>
      <c r="O64" s="10"/>
      <c r="P64" s="10"/>
      <c r="Q64" s="14"/>
      <c r="R64" s="14">
        <f>SUM(R4:R63)</f>
        <v>66.06536827594968</v>
      </c>
      <c r="S64" s="10"/>
      <c r="T64" s="22">
        <f>SUM(T4:T63)</f>
        <v>12.986392407858503</v>
      </c>
      <c r="U64" s="16">
        <f>SUM(U4:U29)</f>
        <v>69.57510784485045</v>
      </c>
      <c r="V64" s="16">
        <f>SUM(V4:V63)</f>
        <v>18015.949407685061</v>
      </c>
      <c r="Y64" s="10"/>
      <c r="Z64" s="10"/>
      <c r="AA64" s="14"/>
      <c r="AB64" s="14">
        <f>SUM(AB4:AB63)</f>
        <v>126.40481065984797</v>
      </c>
      <c r="AC64" s="10"/>
      <c r="AD64" s="22">
        <f>SUM(AD4:AD63)</f>
        <v>19.462825312595236</v>
      </c>
      <c r="AE64" s="16">
        <f>SUM(AE4:AE42)</f>
        <v>85.314015488045754</v>
      </c>
      <c r="AF64" s="16">
        <f>SUM(AF4:AF63)</f>
        <v>63425.747151794727</v>
      </c>
    </row>
    <row r="66" spans="5:26" x14ac:dyDescent="0.25">
      <c r="E66" s="17" t="s">
        <v>12</v>
      </c>
      <c r="F66" s="23">
        <f>J64</f>
        <v>15.98648208441092</v>
      </c>
      <c r="O66" s="17" t="s">
        <v>12</v>
      </c>
      <c r="P66" s="23">
        <f>T64</f>
        <v>12.986392407858503</v>
      </c>
      <c r="Y66" s="17" t="s">
        <v>12</v>
      </c>
      <c r="Z66" s="23">
        <f>AD64</f>
        <v>19.462825312595236</v>
      </c>
    </row>
    <row r="67" spans="5:26" x14ac:dyDescent="0.25">
      <c r="E67" s="26" t="s">
        <v>13</v>
      </c>
      <c r="F67" s="21">
        <f>F66/(1+$C$6)</f>
        <v>15.176079442197571</v>
      </c>
      <c r="O67" s="26" t="s">
        <v>13</v>
      </c>
      <c r="P67" s="21">
        <f>P66/(1+$C$6)</f>
        <v>12.328073293960987</v>
      </c>
      <c r="Y67" s="26" t="s">
        <v>13</v>
      </c>
      <c r="Z67" s="21">
        <f>Z66/(1+$C$6)</f>
        <v>18.476196423576265</v>
      </c>
    </row>
    <row r="68" spans="5:26" x14ac:dyDescent="0.25">
      <c r="E68" s="26" t="s">
        <v>14</v>
      </c>
      <c r="F68" s="21">
        <f>L64/(H64*(1+$C$6/2)^2)</f>
        <v>357.58528909260536</v>
      </c>
      <c r="O68" s="26" t="s">
        <v>14</v>
      </c>
      <c r="P68" s="21">
        <f>V64/(R64*(1+$C$6/2)^2)</f>
        <v>258.69984545541956</v>
      </c>
      <c r="Y68" s="26" t="s">
        <v>14</v>
      </c>
      <c r="Z68" s="21">
        <f>AF64/(AB64*(1+$C$6/2)^2)</f>
        <v>476.00867260778614</v>
      </c>
    </row>
    <row r="69" spans="5:26" x14ac:dyDescent="0.25">
      <c r="E69" s="27" t="s">
        <v>29</v>
      </c>
      <c r="F69" s="20">
        <f>H64*F67*0.0001</f>
        <v>0.13138911490775954</v>
      </c>
      <c r="O69" s="27" t="s">
        <v>29</v>
      </c>
      <c r="P69" s="20">
        <f>R64*P67*0.0001</f>
        <v>8.1445870229843273E-2</v>
      </c>
      <c r="Y69" s="27" t="s">
        <v>29</v>
      </c>
      <c r="Z69" s="20">
        <f>AB64*Z67*0.0001</f>
        <v>0.23354801106363179</v>
      </c>
    </row>
  </sheetData>
  <mergeCells count="1">
    <mergeCell ref="B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412C-27FC-4E5E-A67D-D093531A32A7}">
  <dimension ref="A1:AC76"/>
  <sheetViews>
    <sheetView showGridLines="0" topLeftCell="A10" zoomScale="67" zoomScaleNormal="74" workbookViewId="0">
      <selection activeCell="I18" sqref="I18"/>
    </sheetView>
  </sheetViews>
  <sheetFormatPr defaultRowHeight="13.8" x14ac:dyDescent="0.25"/>
  <cols>
    <col min="2" max="2" width="30.6640625" bestFit="1" customWidth="1"/>
  </cols>
  <sheetData>
    <row r="1" spans="1:29" ht="27.6" x14ac:dyDescent="0.45">
      <c r="A1" s="58"/>
      <c r="B1" s="77" t="s">
        <v>40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59"/>
    </row>
    <row r="2" spans="1:29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2"/>
    </row>
    <row r="3" spans="1:29" x14ac:dyDescent="0.25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2"/>
    </row>
    <row r="4" spans="1:29" ht="22.8" x14ac:dyDescent="0.4">
      <c r="A4" s="60"/>
      <c r="B4" s="57" t="s">
        <v>42</v>
      </c>
      <c r="C4" s="76" t="s">
        <v>41</v>
      </c>
      <c r="D4" s="76"/>
      <c r="E4" s="76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</row>
    <row r="5" spans="1:29" x14ac:dyDescent="0.25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2"/>
    </row>
    <row r="6" spans="1:29" x14ac:dyDescent="0.25">
      <c r="A6" s="60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2"/>
    </row>
    <row r="7" spans="1:29" x14ac:dyDescent="0.25">
      <c r="A7" s="60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2"/>
    </row>
    <row r="8" spans="1:29" x14ac:dyDescent="0.25">
      <c r="A8" s="60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2"/>
    </row>
    <row r="9" spans="1:29" x14ac:dyDescent="0.2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2"/>
    </row>
    <row r="10" spans="1:29" x14ac:dyDescent="0.2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2"/>
    </row>
    <row r="11" spans="1:29" x14ac:dyDescent="0.25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2"/>
    </row>
    <row r="12" spans="1:29" x14ac:dyDescent="0.25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2"/>
    </row>
    <row r="13" spans="1:29" x14ac:dyDescent="0.25">
      <c r="A13" s="60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2"/>
    </row>
    <row r="14" spans="1:29" x14ac:dyDescent="0.25">
      <c r="A14" s="60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2"/>
    </row>
    <row r="15" spans="1:29" x14ac:dyDescent="0.25">
      <c r="A15" s="60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2"/>
    </row>
    <row r="16" spans="1:29" x14ac:dyDescent="0.25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2"/>
    </row>
    <row r="17" spans="1:29" x14ac:dyDescent="0.25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2"/>
    </row>
    <row r="18" spans="1:29" x14ac:dyDescent="0.25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2"/>
    </row>
    <row r="19" spans="1:29" x14ac:dyDescent="0.25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2"/>
    </row>
    <row r="20" spans="1:29" x14ac:dyDescent="0.25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2"/>
    </row>
    <row r="21" spans="1:29" x14ac:dyDescent="0.25">
      <c r="A21" s="60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2"/>
    </row>
    <row r="22" spans="1:29" x14ac:dyDescent="0.25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2"/>
    </row>
    <row r="23" spans="1:29" x14ac:dyDescent="0.25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2"/>
    </row>
    <row r="24" spans="1:29" ht="15" x14ac:dyDescent="0.25">
      <c r="A24" s="60"/>
      <c r="B24" s="63" t="s">
        <v>39</v>
      </c>
      <c r="C24" s="63" t="s">
        <v>16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2"/>
    </row>
    <row r="25" spans="1:29" ht="15.6" x14ac:dyDescent="0.3">
      <c r="A25" s="60"/>
      <c r="B25" s="64">
        <v>1</v>
      </c>
      <c r="C25" s="65">
        <v>3.7719999999999997E-2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2"/>
    </row>
    <row r="26" spans="1:29" ht="15.6" x14ac:dyDescent="0.3">
      <c r="A26" s="60"/>
      <c r="B26" s="64">
        <v>3</v>
      </c>
      <c r="C26" s="65">
        <v>3.7990000000000003E-2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2"/>
    </row>
    <row r="27" spans="1:29" ht="15.6" x14ac:dyDescent="0.3">
      <c r="A27" s="60"/>
      <c r="B27" s="64">
        <v>5</v>
      </c>
      <c r="C27" s="65">
        <v>3.9609999999999999E-2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2"/>
    </row>
    <row r="28" spans="1:29" ht="15.6" x14ac:dyDescent="0.3">
      <c r="A28" s="60"/>
      <c r="B28" s="64">
        <v>10</v>
      </c>
      <c r="C28" s="65">
        <v>4.5179999999999998E-2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2"/>
    </row>
    <row r="29" spans="1:29" ht="15.6" x14ac:dyDescent="0.3">
      <c r="A29" s="60"/>
      <c r="B29" s="64">
        <v>15</v>
      </c>
      <c r="C29" s="65">
        <v>4.9160000000000002E-2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2"/>
    </row>
    <row r="30" spans="1:29" ht="15.6" x14ac:dyDescent="0.3">
      <c r="A30" s="60"/>
      <c r="B30" s="64">
        <v>20</v>
      </c>
      <c r="C30" s="65">
        <v>5.1639999999999998E-2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2"/>
    </row>
    <row r="31" spans="1:29" ht="15.6" x14ac:dyDescent="0.3">
      <c r="A31" s="60"/>
      <c r="B31" s="64">
        <v>30</v>
      </c>
      <c r="C31" s="65">
        <v>5.2699999999999997E-2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2"/>
    </row>
    <row r="32" spans="1:29" ht="15.6" x14ac:dyDescent="0.3">
      <c r="A32" s="60"/>
      <c r="B32" s="64">
        <v>50</v>
      </c>
      <c r="C32" s="65">
        <v>4.7399999999999998E-2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2"/>
    </row>
    <row r="33" spans="1:29" x14ac:dyDescent="0.25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2"/>
    </row>
    <row r="34" spans="1:29" x14ac:dyDescent="0.25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2"/>
    </row>
    <row r="35" spans="1:29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2"/>
    </row>
    <row r="36" spans="1:29" x14ac:dyDescent="0.25">
      <c r="A36" s="60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2"/>
    </row>
    <row r="37" spans="1:29" x14ac:dyDescent="0.2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2"/>
    </row>
    <row r="38" spans="1:29" x14ac:dyDescent="0.25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2"/>
    </row>
    <row r="39" spans="1:29" x14ac:dyDescent="0.25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2"/>
    </row>
    <row r="40" spans="1:29" x14ac:dyDescent="0.25">
      <c r="A40" s="60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2"/>
    </row>
    <row r="41" spans="1:29" x14ac:dyDescent="0.25">
      <c r="A41" s="60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2"/>
    </row>
    <row r="42" spans="1:29" x14ac:dyDescent="0.25">
      <c r="A42" s="60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2"/>
    </row>
    <row r="43" spans="1:29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2"/>
    </row>
    <row r="44" spans="1:29" x14ac:dyDescent="0.25">
      <c r="A44" s="60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2"/>
    </row>
    <row r="45" spans="1:29" x14ac:dyDescent="0.25">
      <c r="A45" s="60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2"/>
    </row>
    <row r="46" spans="1:29" x14ac:dyDescent="0.25">
      <c r="A46" s="60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2"/>
    </row>
    <row r="47" spans="1:29" x14ac:dyDescent="0.25">
      <c r="A47" s="60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2"/>
    </row>
    <row r="48" spans="1:29" x14ac:dyDescent="0.25">
      <c r="A48" s="60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2"/>
    </row>
    <row r="49" spans="1:29" x14ac:dyDescent="0.25">
      <c r="A49" s="60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2"/>
    </row>
    <row r="50" spans="1:29" x14ac:dyDescent="0.25">
      <c r="A50" s="60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2"/>
    </row>
    <row r="51" spans="1:29" x14ac:dyDescent="0.25">
      <c r="A51" s="60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2"/>
    </row>
    <row r="52" spans="1:29" x14ac:dyDescent="0.25">
      <c r="A52" s="60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2"/>
    </row>
    <row r="53" spans="1:29" x14ac:dyDescent="0.25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2"/>
    </row>
    <row r="54" spans="1:29" x14ac:dyDescent="0.25">
      <c r="A54" s="60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2"/>
    </row>
    <row r="55" spans="1:29" x14ac:dyDescent="0.25">
      <c r="A55" s="60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2"/>
    </row>
    <row r="56" spans="1:29" x14ac:dyDescent="0.25">
      <c r="A56" s="60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2"/>
    </row>
    <row r="57" spans="1:29" x14ac:dyDescent="0.25">
      <c r="A57" s="60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2"/>
    </row>
    <row r="58" spans="1:29" x14ac:dyDescent="0.25">
      <c r="A58" s="60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2"/>
    </row>
    <row r="59" spans="1:29" x14ac:dyDescent="0.25">
      <c r="A59" s="60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2"/>
    </row>
    <row r="60" spans="1:29" x14ac:dyDescent="0.25">
      <c r="A60" s="60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2"/>
    </row>
    <row r="61" spans="1:29" x14ac:dyDescent="0.25">
      <c r="A61" s="60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2"/>
    </row>
    <row r="62" spans="1:29" x14ac:dyDescent="0.25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2"/>
    </row>
    <row r="63" spans="1:29" x14ac:dyDescent="0.25">
      <c r="A63" s="60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2"/>
    </row>
    <row r="64" spans="1:29" x14ac:dyDescent="0.25">
      <c r="A64" s="60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2"/>
    </row>
    <row r="65" spans="1:29" x14ac:dyDescent="0.25">
      <c r="A65" s="60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2"/>
    </row>
    <row r="66" spans="1:29" x14ac:dyDescent="0.25">
      <c r="A66" s="60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2"/>
    </row>
    <row r="67" spans="1:29" x14ac:dyDescent="0.25">
      <c r="A67" s="60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2"/>
    </row>
    <row r="68" spans="1:29" x14ac:dyDescent="0.25">
      <c r="A68" s="60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2"/>
    </row>
    <row r="69" spans="1:29" x14ac:dyDescent="0.25">
      <c r="A69" s="60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2"/>
    </row>
    <row r="70" spans="1:29" x14ac:dyDescent="0.25">
      <c r="A70" s="60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2"/>
    </row>
    <row r="71" spans="1:29" x14ac:dyDescent="0.25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2"/>
    </row>
    <row r="72" spans="1:29" x14ac:dyDescent="0.25">
      <c r="A72" s="60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2"/>
    </row>
    <row r="73" spans="1:29" x14ac:dyDescent="0.25">
      <c r="A73" s="60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2"/>
    </row>
    <row r="74" spans="1:29" x14ac:dyDescent="0.25">
      <c r="A74" s="60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2"/>
    </row>
    <row r="75" spans="1:29" x14ac:dyDescent="0.25">
      <c r="A75" s="60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2"/>
    </row>
    <row r="76" spans="1:29" ht="14.4" thickBot="1" x14ac:dyDescent="0.3">
      <c r="A76" s="66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8"/>
    </row>
  </sheetData>
  <mergeCells count="2">
    <mergeCell ref="C4:E4"/>
    <mergeCell ref="B1:AB1"/>
  </mergeCells>
  <pageMargins left="0.70866141732283472" right="0.70866141732283472" top="0.74803149606299213" bottom="0.74803149606299213" header="0.31496062992125984" footer="0.31496062992125984"/>
  <pageSetup paperSiz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GBP01 &amp; Convexity</vt:lpstr>
      <vt:lpstr>10 year Gilt (2)</vt:lpstr>
      <vt:lpstr>10 Year Scenario</vt:lpstr>
      <vt:lpstr>30 year Gilt (2)</vt:lpstr>
      <vt:lpstr>30 Year Scenario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Biswas</dc:creator>
  <cp:lastModifiedBy>Ayan Biswas</cp:lastModifiedBy>
  <cp:lastPrinted>2025-12-18T13:55:59Z</cp:lastPrinted>
  <dcterms:created xsi:type="dcterms:W3CDTF">2025-12-14T05:15:30Z</dcterms:created>
  <dcterms:modified xsi:type="dcterms:W3CDTF">2026-02-04T19:08:59Z</dcterms:modified>
</cp:coreProperties>
</file>